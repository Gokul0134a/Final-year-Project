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"/>
    </mc:Choice>
  </mc:AlternateContent>
  <xr:revisionPtr revIDLastSave="0" documentId="13_ncr:1_{12D339FD-61D7-484B-B518-8741620F1378}" xr6:coauthVersionLast="47" xr6:coauthVersionMax="47" xr10:uidLastSave="{00000000-0000-0000-0000-000000000000}"/>
  <bookViews>
    <workbookView xWindow="-108" yWindow="-108" windowWidth="23256" windowHeight="12456" xr2:uid="{764A95B9-45DB-40EE-91C4-6A380057DDC5}"/>
  </bookViews>
  <sheets>
    <sheet name="Summary" sheetId="1" r:id="rId1"/>
    <sheet name="Delhi" sheetId="4" r:id="rId2"/>
    <sheet name="Chennai" sheetId="7" r:id="rId3"/>
    <sheet name="Bangalore" sheetId="2" r:id="rId4"/>
    <sheet name="Mumbai" sheetId="3" r:id="rId5"/>
    <sheet name="Barshi" sheetId="5" r:id="rId6"/>
    <sheet name="Bhopal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7" l="1"/>
  <c r="L41" i="7"/>
  <c r="K41" i="7"/>
  <c r="J41" i="7"/>
  <c r="I41" i="7"/>
  <c r="H41" i="7"/>
  <c r="M40" i="7"/>
  <c r="L40" i="7"/>
  <c r="K40" i="7"/>
  <c r="J40" i="7"/>
  <c r="I40" i="7"/>
  <c r="H40" i="7"/>
  <c r="M39" i="7"/>
  <c r="L39" i="7"/>
  <c r="K39" i="7"/>
  <c r="J39" i="7"/>
  <c r="I39" i="7"/>
  <c r="H39" i="7"/>
  <c r="M38" i="7"/>
  <c r="L38" i="7"/>
  <c r="K38" i="7"/>
  <c r="J38" i="7"/>
  <c r="I38" i="7"/>
  <c r="H38" i="7"/>
  <c r="N20" i="7"/>
  <c r="M20" i="7"/>
  <c r="L20" i="7"/>
  <c r="K20" i="7"/>
  <c r="J20" i="7"/>
  <c r="I20" i="7"/>
  <c r="H20" i="7"/>
  <c r="N19" i="7"/>
  <c r="M19" i="7"/>
  <c r="L19" i="7"/>
  <c r="K19" i="7"/>
  <c r="J19" i="7"/>
  <c r="I19" i="7"/>
  <c r="H19" i="7"/>
  <c r="N18" i="7"/>
  <c r="M18" i="7"/>
  <c r="L18" i="7"/>
  <c r="K18" i="7"/>
  <c r="J18" i="7"/>
  <c r="I18" i="7"/>
  <c r="H18" i="7"/>
  <c r="N17" i="7"/>
  <c r="M17" i="7"/>
  <c r="L17" i="7"/>
  <c r="K17" i="7"/>
  <c r="J17" i="7"/>
  <c r="I17" i="7"/>
  <c r="H17" i="7"/>
  <c r="M34" i="6"/>
  <c r="L34" i="6"/>
  <c r="K34" i="6"/>
  <c r="J34" i="6"/>
  <c r="I34" i="6"/>
  <c r="H34" i="6"/>
  <c r="M33" i="6"/>
  <c r="L33" i="6"/>
  <c r="K33" i="6"/>
  <c r="J33" i="6"/>
  <c r="I33" i="6"/>
  <c r="H33" i="6"/>
  <c r="M32" i="6"/>
  <c r="L32" i="6"/>
  <c r="K32" i="6"/>
  <c r="J32" i="6"/>
  <c r="I32" i="6"/>
  <c r="H32" i="6"/>
  <c r="M31" i="6"/>
  <c r="L31" i="6"/>
  <c r="K31" i="6"/>
  <c r="J31" i="6"/>
  <c r="I31" i="6"/>
  <c r="H31" i="6"/>
  <c r="L17" i="6"/>
  <c r="K17" i="6"/>
  <c r="J17" i="6"/>
  <c r="I17" i="6"/>
  <c r="H17" i="6"/>
  <c r="G17" i="6"/>
  <c r="L16" i="6"/>
  <c r="K16" i="6"/>
  <c r="J16" i="6"/>
  <c r="I16" i="6"/>
  <c r="H16" i="6"/>
  <c r="G16" i="6"/>
  <c r="L15" i="6"/>
  <c r="K15" i="6"/>
  <c r="J15" i="6"/>
  <c r="I15" i="6"/>
  <c r="H15" i="6"/>
  <c r="G15" i="6"/>
  <c r="L14" i="6"/>
  <c r="K14" i="6"/>
  <c r="J14" i="6"/>
  <c r="I14" i="6"/>
  <c r="H14" i="6"/>
  <c r="G14" i="6"/>
  <c r="L29" i="5" l="1"/>
  <c r="K29" i="5"/>
  <c r="J29" i="5"/>
  <c r="I29" i="5"/>
  <c r="H29" i="5"/>
  <c r="G29" i="5"/>
  <c r="L28" i="5"/>
  <c r="K28" i="5"/>
  <c r="J28" i="5"/>
  <c r="I28" i="5"/>
  <c r="H28" i="5"/>
  <c r="G28" i="5"/>
  <c r="L27" i="5"/>
  <c r="K27" i="5"/>
  <c r="J27" i="5"/>
  <c r="I27" i="5"/>
  <c r="H27" i="5"/>
  <c r="G27" i="5"/>
  <c r="L26" i="5"/>
  <c r="K26" i="5"/>
  <c r="J26" i="5"/>
  <c r="I26" i="5"/>
  <c r="H26" i="5"/>
  <c r="G26" i="5"/>
  <c r="L15" i="5"/>
  <c r="K15" i="5"/>
  <c r="J15" i="5"/>
  <c r="I15" i="5"/>
  <c r="H15" i="5"/>
  <c r="G15" i="5"/>
  <c r="L14" i="5"/>
  <c r="K14" i="5"/>
  <c r="J14" i="5"/>
  <c r="I14" i="5"/>
  <c r="H14" i="5"/>
  <c r="G14" i="5"/>
  <c r="L13" i="5"/>
  <c r="K13" i="5"/>
  <c r="J13" i="5"/>
  <c r="I13" i="5"/>
  <c r="H13" i="5"/>
  <c r="G13" i="5"/>
  <c r="L12" i="5"/>
  <c r="K12" i="5"/>
  <c r="J12" i="5"/>
  <c r="I12" i="5"/>
  <c r="H12" i="5"/>
  <c r="G12" i="5"/>
  <c r="M15" i="4" l="1"/>
  <c r="L15" i="4"/>
  <c r="K15" i="4"/>
  <c r="J15" i="4"/>
  <c r="I15" i="4"/>
  <c r="H15" i="4"/>
  <c r="M14" i="4"/>
  <c r="L14" i="4"/>
  <c r="K14" i="4"/>
  <c r="J14" i="4"/>
  <c r="I14" i="4"/>
  <c r="H14" i="4"/>
  <c r="M13" i="4"/>
  <c r="L13" i="4"/>
  <c r="K13" i="4"/>
  <c r="J13" i="4"/>
  <c r="I13" i="4"/>
  <c r="H13" i="4"/>
  <c r="M12" i="4"/>
  <c r="L12" i="4"/>
  <c r="K12" i="4"/>
  <c r="J12" i="4"/>
  <c r="I12" i="4"/>
  <c r="H12" i="4"/>
  <c r="M32" i="4"/>
  <c r="L32" i="4"/>
  <c r="K32" i="4"/>
  <c r="J32" i="4"/>
  <c r="I32" i="4"/>
  <c r="H32" i="4"/>
  <c r="M31" i="4"/>
  <c r="L31" i="4"/>
  <c r="K31" i="4"/>
  <c r="J31" i="4"/>
  <c r="I31" i="4"/>
  <c r="H31" i="4"/>
  <c r="M30" i="4"/>
  <c r="L30" i="4"/>
  <c r="K30" i="4"/>
  <c r="J30" i="4"/>
  <c r="I30" i="4"/>
  <c r="H30" i="4"/>
  <c r="M29" i="4"/>
  <c r="L29" i="4"/>
  <c r="K29" i="4"/>
  <c r="J29" i="4"/>
  <c r="I29" i="4"/>
  <c r="H29" i="4"/>
  <c r="O32" i="3" l="1"/>
  <c r="N32" i="3"/>
  <c r="M32" i="3"/>
  <c r="L32" i="3"/>
  <c r="K32" i="3"/>
  <c r="J32" i="3"/>
  <c r="I32" i="3"/>
  <c r="O31" i="3"/>
  <c r="N31" i="3"/>
  <c r="M31" i="3"/>
  <c r="L31" i="3"/>
  <c r="K31" i="3"/>
  <c r="J31" i="3"/>
  <c r="I31" i="3"/>
  <c r="O30" i="3"/>
  <c r="N30" i="3"/>
  <c r="M30" i="3"/>
  <c r="L30" i="3"/>
  <c r="K30" i="3"/>
  <c r="J30" i="3"/>
  <c r="I30" i="3"/>
  <c r="O29" i="3"/>
  <c r="N29" i="3"/>
  <c r="M29" i="3"/>
  <c r="L29" i="3"/>
  <c r="K29" i="3"/>
  <c r="J29" i="3"/>
  <c r="I29" i="3"/>
  <c r="O15" i="3"/>
  <c r="N15" i="3"/>
  <c r="M15" i="3"/>
  <c r="L15" i="3"/>
  <c r="K15" i="3"/>
  <c r="J15" i="3"/>
  <c r="I15" i="3"/>
  <c r="O14" i="3"/>
  <c r="N14" i="3"/>
  <c r="M14" i="3"/>
  <c r="L14" i="3"/>
  <c r="K14" i="3"/>
  <c r="J14" i="3"/>
  <c r="I14" i="3"/>
  <c r="O13" i="3"/>
  <c r="N13" i="3"/>
  <c r="M13" i="3"/>
  <c r="L13" i="3"/>
  <c r="K13" i="3"/>
  <c r="J13" i="3"/>
  <c r="I13" i="3"/>
  <c r="O12" i="3"/>
  <c r="N12" i="3"/>
  <c r="M12" i="3"/>
  <c r="L12" i="3"/>
  <c r="K12" i="3"/>
  <c r="J12" i="3"/>
  <c r="I12" i="3"/>
  <c r="N15" i="2" l="1"/>
  <c r="M15" i="2"/>
  <c r="L15" i="2"/>
  <c r="K15" i="2"/>
  <c r="J15" i="2"/>
  <c r="I15" i="2"/>
  <c r="H15" i="2"/>
  <c r="N14" i="2"/>
  <c r="M14" i="2"/>
  <c r="L14" i="2"/>
  <c r="K14" i="2"/>
  <c r="J14" i="2"/>
  <c r="I14" i="2"/>
  <c r="H14" i="2"/>
  <c r="N13" i="2"/>
  <c r="M13" i="2"/>
  <c r="L13" i="2"/>
  <c r="K13" i="2"/>
  <c r="J13" i="2"/>
  <c r="I13" i="2"/>
  <c r="H13" i="2"/>
  <c r="N12" i="2"/>
  <c r="M12" i="2"/>
  <c r="L12" i="2"/>
  <c r="K12" i="2"/>
  <c r="J12" i="2"/>
  <c r="I12" i="2"/>
  <c r="H12" i="2"/>
  <c r="M31" i="2"/>
  <c r="L31" i="2"/>
  <c r="K31" i="2"/>
  <c r="J31" i="2"/>
  <c r="I31" i="2"/>
  <c r="H31" i="2"/>
  <c r="G31" i="2"/>
  <c r="M30" i="2"/>
  <c r="L30" i="2"/>
  <c r="K30" i="2"/>
  <c r="J30" i="2"/>
  <c r="I30" i="2"/>
  <c r="H30" i="2"/>
  <c r="G30" i="2"/>
  <c r="M29" i="2"/>
  <c r="L29" i="2"/>
  <c r="K29" i="2"/>
  <c r="J29" i="2"/>
  <c r="I29" i="2"/>
  <c r="H29" i="2"/>
  <c r="G29" i="2"/>
  <c r="M28" i="2"/>
  <c r="L28" i="2"/>
  <c r="K28" i="2"/>
  <c r="J28" i="2"/>
  <c r="I28" i="2"/>
  <c r="H28" i="2"/>
  <c r="G28" i="2"/>
</calcChain>
</file>

<file path=xl/sharedStrings.xml><?xml version="1.0" encoding="utf-8"?>
<sst xmlns="http://schemas.openxmlformats.org/spreadsheetml/2006/main" count="643" uniqueCount="69">
  <si>
    <t>PBCR REGISTRY</t>
  </si>
  <si>
    <t>Adjusted Median</t>
  </si>
  <si>
    <t>Oral</t>
  </si>
  <si>
    <t>Lung</t>
  </si>
  <si>
    <t>Prostate</t>
  </si>
  <si>
    <t>All sites</t>
  </si>
  <si>
    <t>DELHI(1990-2017)</t>
  </si>
  <si>
    <t>↓</t>
  </si>
  <si>
    <t>↑</t>
  </si>
  <si>
    <t>↔</t>
  </si>
  <si>
    <t>Breast</t>
  </si>
  <si>
    <t>Cervix</t>
  </si>
  <si>
    <t>CHENNAI (1985 - 2018)</t>
  </si>
  <si>
    <t>BANGALORE (1985 - 2017)</t>
  </si>
  <si>
    <t>MUMBAI (1985 - 2018)</t>
  </si>
  <si>
    <t>BARSHI (1990 - 2019)</t>
  </si>
  <si>
    <t>BHOPAL (1990 - 2019)</t>
  </si>
  <si>
    <t>*Adjusted median values were calculated using the Indian standard population.</t>
  </si>
  <si>
    <t xml:space="preserve"> </t>
  </si>
  <si>
    <t xml:space="preserve">MALE </t>
  </si>
  <si>
    <t>FEMALE</t>
  </si>
  <si>
    <t>Trends in Adjusted Median Age across PBCRs</t>
  </si>
  <si>
    <t>Distribution of Adjusted Median Age at Diagnosis Over Time (WSP)</t>
  </si>
  <si>
    <t>Distribution of Adjusted Median Age at Diagnosis Over Time (ISP)</t>
  </si>
  <si>
    <t>Female</t>
  </si>
  <si>
    <t>Site</t>
  </si>
  <si>
    <t>1985-1989</t>
  </si>
  <si>
    <t>1990-1994</t>
  </si>
  <si>
    <t>1995-1999</t>
  </si>
  <si>
    <t>2000-2004</t>
  </si>
  <si>
    <t>2005-2009</t>
  </si>
  <si>
    <t>2010-2014</t>
  </si>
  <si>
    <t>2015-2018</t>
  </si>
  <si>
    <t>2015-2017</t>
  </si>
  <si>
    <t>Difference of Adjusted Median Age at Diagnosis Over Time (WSP) t o (ISP)</t>
  </si>
  <si>
    <t>Male</t>
  </si>
  <si>
    <t>Difference of WSP to ISP</t>
  </si>
  <si>
    <t>Distribution of (WSP)</t>
  </si>
  <si>
    <t>Distribution of  (ISP)</t>
  </si>
  <si>
    <t xml:space="preserve">Difference of Adjusted Median Age at Diagnosis Over Time </t>
  </si>
  <si>
    <t>Difference of Adjusted Median Age at Diagnosis Over Time</t>
  </si>
  <si>
    <t>Distribution of (ISP)</t>
  </si>
  <si>
    <t>Difference of (WSP) to ISP</t>
  </si>
  <si>
    <t>Distribution of  (WSP)</t>
  </si>
  <si>
    <t>Difference of  WSP to ISP</t>
  </si>
  <si>
    <t>Distribution of Adjuted median age at diagnosis - Male (WSP)</t>
  </si>
  <si>
    <t>Distribution of Adjuted median age at diagnosis - Male (ISP)</t>
  </si>
  <si>
    <t>2015-2019</t>
  </si>
  <si>
    <t>Difference of Adjuted median age at diagnosis - Male (WSP) to (ISP)</t>
  </si>
  <si>
    <t>Distribution of Adjuted median age at diagnosis - Female (WSP)</t>
  </si>
  <si>
    <t>Distribution of Adjuted median age at diagnosis - Female (ISP)</t>
  </si>
  <si>
    <t>Difference of Adjuted median age at diagnosis - Female (WSP) to (ISP)</t>
  </si>
  <si>
    <t xml:space="preserve">Bhopal Male </t>
  </si>
  <si>
    <t>Distribution of WSP</t>
  </si>
  <si>
    <t>Distribution of ISP</t>
  </si>
  <si>
    <t>Chennai Median Calculation summary Table over the years</t>
  </si>
  <si>
    <t>Using WSP</t>
  </si>
  <si>
    <t>Using ISP</t>
  </si>
  <si>
    <t>Distribution of Adjuted median age at diagnosis - Male</t>
  </si>
  <si>
    <t>Difference  WSP ----&gt; ISP</t>
  </si>
  <si>
    <t>Distribution of Adjusted Median Age at Diagnosis Over Time</t>
  </si>
  <si>
    <t>Distribution of Adjuted median age at diagnosis - Female</t>
  </si>
  <si>
    <t>CHENNAI(1985-2018)</t>
  </si>
  <si>
    <t>BANGLORE(1985-2018)</t>
  </si>
  <si>
    <t>MUMBAI(1985-2018)</t>
  </si>
  <si>
    <t>BARSHI(1990-2019)</t>
  </si>
  <si>
    <t>BHOPAL(1990-2019)</t>
  </si>
  <si>
    <t>*Adjusted median values were calculated using the World standard population.</t>
  </si>
  <si>
    <t>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</si>
</sst>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/>
    </xf>
    <xf numFmtId="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2" borderId="6" xfId="0" applyFill="1" applyBorder="1" applyAlignment="1">
      <alignment horizontal="left" vertical="center"/>
    </xf>
    <xf numFmtId="1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1" fontId="0" fillId="3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19A1-C5CA-4C34-A077-E92E812D60C7}">
  <dimension ref="C2:R24"/>
  <sheetViews>
    <sheetView tabSelected="1" topLeftCell="A3" workbookViewId="0">
      <selection activeCell="F20" sqref="F20"/>
    </sheetView>
  </sheetViews>
  <sheetFormatPr defaultRowHeight="14.4" x14ac:dyDescent="0.3"/>
  <cols>
    <col min="3" max="3" width="24.77734375" customWidth="1"/>
    <col min="11" max="11" width="7.88671875" customWidth="1"/>
    <col min="12" max="12" width="8.88671875" hidden="1" customWidth="1"/>
    <col min="13" max="13" width="24.33203125" customWidth="1"/>
  </cols>
  <sheetData>
    <row r="2" spans="3:18" x14ac:dyDescent="0.3">
      <c r="C2" s="46" t="s">
        <v>19</v>
      </c>
      <c r="D2" s="47"/>
      <c r="E2" s="47"/>
      <c r="F2" s="47"/>
      <c r="G2" s="48"/>
      <c r="M2" s="46" t="s">
        <v>20</v>
      </c>
      <c r="N2" s="47"/>
      <c r="O2" s="47"/>
      <c r="P2" s="47"/>
      <c r="Q2" s="48"/>
    </row>
    <row r="3" spans="3:18" x14ac:dyDescent="0.3">
      <c r="C3" s="46" t="s">
        <v>21</v>
      </c>
      <c r="D3" s="47"/>
      <c r="E3" s="47"/>
      <c r="F3" s="47"/>
      <c r="G3" s="48"/>
      <c r="M3" s="46" t="s">
        <v>21</v>
      </c>
      <c r="N3" s="47"/>
      <c r="O3" s="47"/>
      <c r="P3" s="47"/>
      <c r="Q3" s="48"/>
    </row>
    <row r="4" spans="3:18" ht="14.4" customHeight="1" x14ac:dyDescent="0.3">
      <c r="C4" s="44" t="s">
        <v>0</v>
      </c>
      <c r="D4" s="39" t="s">
        <v>1</v>
      </c>
      <c r="E4" s="40"/>
      <c r="F4" s="40"/>
      <c r="G4" s="41"/>
      <c r="M4" s="44" t="s">
        <v>0</v>
      </c>
      <c r="N4" s="39" t="s">
        <v>1</v>
      </c>
      <c r="O4" s="40"/>
      <c r="P4" s="40"/>
      <c r="Q4" s="41"/>
    </row>
    <row r="5" spans="3:18" x14ac:dyDescent="0.3">
      <c r="C5" s="45"/>
      <c r="D5" s="32" t="s">
        <v>2</v>
      </c>
      <c r="E5" s="1" t="s">
        <v>3</v>
      </c>
      <c r="F5" s="1" t="s">
        <v>4</v>
      </c>
      <c r="G5" s="2" t="s">
        <v>5</v>
      </c>
      <c r="M5" s="45"/>
      <c r="N5" s="1" t="s">
        <v>10</v>
      </c>
      <c r="O5" s="1" t="s">
        <v>11</v>
      </c>
      <c r="P5" s="1" t="s">
        <v>2</v>
      </c>
      <c r="Q5" s="1" t="s">
        <v>5</v>
      </c>
      <c r="R5" s="6"/>
    </row>
    <row r="6" spans="3:18" x14ac:dyDescent="0.3">
      <c r="C6" s="3" t="s">
        <v>6</v>
      </c>
      <c r="D6" s="5" t="s">
        <v>7</v>
      </c>
      <c r="E6" s="4" t="s">
        <v>8</v>
      </c>
      <c r="F6" s="4" t="s">
        <v>8</v>
      </c>
      <c r="G6" s="4" t="s">
        <v>8</v>
      </c>
      <c r="M6" s="3" t="s">
        <v>6</v>
      </c>
      <c r="N6" s="4" t="s">
        <v>8</v>
      </c>
      <c r="O6" s="5" t="s">
        <v>8</v>
      </c>
      <c r="P6" s="5" t="s">
        <v>8</v>
      </c>
      <c r="Q6" s="5" t="s">
        <v>8</v>
      </c>
    </row>
    <row r="7" spans="3:18" x14ac:dyDescent="0.3">
      <c r="C7" s="3" t="s">
        <v>12</v>
      </c>
      <c r="D7" s="5" t="s">
        <v>7</v>
      </c>
      <c r="E7" s="4" t="s">
        <v>8</v>
      </c>
      <c r="F7" s="4" t="s">
        <v>8</v>
      </c>
      <c r="G7" s="4" t="s">
        <v>8</v>
      </c>
      <c r="M7" s="3" t="s">
        <v>12</v>
      </c>
      <c r="N7" s="4" t="s">
        <v>8</v>
      </c>
      <c r="O7" s="5" t="s">
        <v>8</v>
      </c>
      <c r="P7" s="5" t="s">
        <v>8</v>
      </c>
      <c r="Q7" s="5" t="s">
        <v>8</v>
      </c>
    </row>
    <row r="8" spans="3:18" x14ac:dyDescent="0.3">
      <c r="C8" s="3" t="s">
        <v>13</v>
      </c>
      <c r="D8" s="5" t="s">
        <v>7</v>
      </c>
      <c r="E8" s="4" t="s">
        <v>8</v>
      </c>
      <c r="F8" s="4" t="s">
        <v>9</v>
      </c>
      <c r="G8" s="4" t="s">
        <v>8</v>
      </c>
      <c r="M8" s="3" t="s">
        <v>13</v>
      </c>
      <c r="N8" s="4" t="s">
        <v>8</v>
      </c>
      <c r="O8" s="5" t="s">
        <v>8</v>
      </c>
      <c r="P8" s="5" t="s">
        <v>8</v>
      </c>
      <c r="Q8" s="5" t="s">
        <v>8</v>
      </c>
    </row>
    <row r="9" spans="3:18" x14ac:dyDescent="0.3">
      <c r="C9" s="3" t="s">
        <v>14</v>
      </c>
      <c r="D9" s="5" t="s">
        <v>7</v>
      </c>
      <c r="E9" s="4" t="s">
        <v>8</v>
      </c>
      <c r="F9" s="4" t="s">
        <v>8</v>
      </c>
      <c r="G9" s="4" t="s">
        <v>8</v>
      </c>
      <c r="M9" s="3" t="s">
        <v>14</v>
      </c>
      <c r="N9" s="4" t="s">
        <v>8</v>
      </c>
      <c r="O9" s="5" t="s">
        <v>8</v>
      </c>
      <c r="P9" s="5" t="s">
        <v>8</v>
      </c>
      <c r="Q9" s="5" t="s">
        <v>8</v>
      </c>
    </row>
    <row r="10" spans="3:18" x14ac:dyDescent="0.3">
      <c r="C10" s="3" t="s">
        <v>15</v>
      </c>
      <c r="D10" s="5" t="s">
        <v>7</v>
      </c>
      <c r="E10" s="5" t="s">
        <v>7</v>
      </c>
      <c r="F10" s="4" t="s">
        <v>8</v>
      </c>
      <c r="G10" s="5" t="s">
        <v>7</v>
      </c>
      <c r="M10" s="3" t="s">
        <v>15</v>
      </c>
      <c r="N10" s="5" t="s">
        <v>7</v>
      </c>
      <c r="O10" s="5" t="s">
        <v>8</v>
      </c>
      <c r="P10" s="5" t="s">
        <v>8</v>
      </c>
      <c r="Q10" s="5" t="s">
        <v>8</v>
      </c>
    </row>
    <row r="11" spans="3:18" x14ac:dyDescent="0.3">
      <c r="C11" s="3" t="s">
        <v>16</v>
      </c>
      <c r="D11" s="5" t="s">
        <v>7</v>
      </c>
      <c r="E11" s="4" t="s">
        <v>9</v>
      </c>
      <c r="F11" s="4" t="s">
        <v>8</v>
      </c>
      <c r="G11" s="5" t="s">
        <v>7</v>
      </c>
      <c r="M11" s="3" t="s">
        <v>16</v>
      </c>
      <c r="N11" s="5" t="s">
        <v>8</v>
      </c>
      <c r="O11" s="5" t="s">
        <v>8</v>
      </c>
      <c r="P11" s="5" t="s">
        <v>7</v>
      </c>
      <c r="Q11" s="5" t="s">
        <v>8</v>
      </c>
    </row>
    <row r="12" spans="3:18" ht="43.2" customHeight="1" x14ac:dyDescent="0.3">
      <c r="C12" s="36" t="s">
        <v>17</v>
      </c>
      <c r="D12" s="37"/>
      <c r="E12" s="37"/>
      <c r="F12" s="37"/>
      <c r="G12" s="38"/>
      <c r="M12" s="36" t="s">
        <v>17</v>
      </c>
      <c r="N12" s="37"/>
      <c r="O12" s="37"/>
      <c r="P12" s="37"/>
      <c r="Q12" s="38"/>
    </row>
    <row r="14" spans="3:18" ht="14.4" customHeight="1" x14ac:dyDescent="0.3"/>
    <row r="15" spans="3:18" x14ac:dyDescent="0.3">
      <c r="C15" s="35" t="s">
        <v>68</v>
      </c>
      <c r="D15" s="35"/>
      <c r="E15" s="35"/>
      <c r="F15" s="35"/>
      <c r="G15" s="35"/>
    </row>
    <row r="16" spans="3:18" x14ac:dyDescent="0.3">
      <c r="C16" s="42" t="s">
        <v>0</v>
      </c>
      <c r="D16" s="39" t="s">
        <v>1</v>
      </c>
      <c r="E16" s="40"/>
      <c r="F16" s="40"/>
      <c r="G16" s="41"/>
      <c r="M16" s="42" t="s">
        <v>0</v>
      </c>
      <c r="N16" s="39" t="s">
        <v>1</v>
      </c>
      <c r="O16" s="40"/>
      <c r="P16" s="40"/>
      <c r="Q16" s="41"/>
    </row>
    <row r="17" spans="3:17" x14ac:dyDescent="0.3">
      <c r="C17" s="43"/>
      <c r="D17" s="1" t="s">
        <v>2</v>
      </c>
      <c r="E17" s="1" t="s">
        <v>3</v>
      </c>
      <c r="F17" s="1" t="s">
        <v>4</v>
      </c>
      <c r="G17" s="2" t="s">
        <v>5</v>
      </c>
      <c r="M17" s="43"/>
      <c r="N17" s="1" t="s">
        <v>10</v>
      </c>
      <c r="O17" s="1" t="s">
        <v>11</v>
      </c>
      <c r="P17" s="1" t="s">
        <v>2</v>
      </c>
      <c r="Q17" s="1" t="s">
        <v>5</v>
      </c>
    </row>
    <row r="18" spans="3:17" x14ac:dyDescent="0.3">
      <c r="C18" s="31" t="s">
        <v>6</v>
      </c>
      <c r="D18" s="5" t="s">
        <v>7</v>
      </c>
      <c r="E18" s="4" t="s">
        <v>8</v>
      </c>
      <c r="F18" s="4" t="s">
        <v>8</v>
      </c>
      <c r="G18" s="4" t="s">
        <v>8</v>
      </c>
      <c r="M18" s="31" t="s">
        <v>6</v>
      </c>
      <c r="N18" s="4" t="s">
        <v>8</v>
      </c>
      <c r="O18" s="4" t="s">
        <v>8</v>
      </c>
      <c r="P18" s="4" t="s">
        <v>8</v>
      </c>
      <c r="Q18" s="4" t="s">
        <v>8</v>
      </c>
    </row>
    <row r="19" spans="3:17" x14ac:dyDescent="0.3">
      <c r="C19" s="31" t="s">
        <v>62</v>
      </c>
      <c r="D19" s="5" t="s">
        <v>7</v>
      </c>
      <c r="E19" s="4" t="s">
        <v>8</v>
      </c>
      <c r="F19" s="4" t="s">
        <v>8</v>
      </c>
      <c r="G19" s="4" t="s">
        <v>8</v>
      </c>
      <c r="M19" s="31" t="s">
        <v>62</v>
      </c>
      <c r="N19" s="4" t="s">
        <v>8</v>
      </c>
      <c r="O19" s="4" t="s">
        <v>8</v>
      </c>
      <c r="P19" s="4" t="s">
        <v>8</v>
      </c>
      <c r="Q19" s="4" t="s">
        <v>8</v>
      </c>
    </row>
    <row r="20" spans="3:17" x14ac:dyDescent="0.3">
      <c r="C20" s="31" t="s">
        <v>63</v>
      </c>
      <c r="D20" s="5" t="s">
        <v>7</v>
      </c>
      <c r="E20" s="4" t="s">
        <v>8</v>
      </c>
      <c r="F20" s="4" t="s">
        <v>9</v>
      </c>
      <c r="G20" s="4" t="s">
        <v>8</v>
      </c>
      <c r="M20" s="31" t="s">
        <v>63</v>
      </c>
      <c r="N20" s="4" t="s">
        <v>8</v>
      </c>
      <c r="O20" s="4" t="s">
        <v>8</v>
      </c>
      <c r="P20" s="4" t="s">
        <v>8</v>
      </c>
      <c r="Q20" s="4" t="s">
        <v>8</v>
      </c>
    </row>
    <row r="21" spans="3:17" x14ac:dyDescent="0.3">
      <c r="C21" s="31" t="s">
        <v>64</v>
      </c>
      <c r="D21" s="5" t="s">
        <v>7</v>
      </c>
      <c r="E21" s="4" t="s">
        <v>8</v>
      </c>
      <c r="F21" s="4" t="s">
        <v>8</v>
      </c>
      <c r="G21" s="4" t="s">
        <v>8</v>
      </c>
      <c r="M21" s="31" t="s">
        <v>64</v>
      </c>
      <c r="N21" s="5" t="s">
        <v>8</v>
      </c>
      <c r="O21" s="5" t="s">
        <v>8</v>
      </c>
      <c r="P21" s="5" t="s">
        <v>8</v>
      </c>
      <c r="Q21" s="4" t="s">
        <v>8</v>
      </c>
    </row>
    <row r="22" spans="3:17" x14ac:dyDescent="0.3">
      <c r="C22" s="31" t="s">
        <v>65</v>
      </c>
      <c r="D22" s="5" t="s">
        <v>7</v>
      </c>
      <c r="E22" s="4" t="s">
        <v>8</v>
      </c>
      <c r="F22" s="4" t="s">
        <v>8</v>
      </c>
      <c r="G22" s="4" t="s">
        <v>9</v>
      </c>
      <c r="M22" s="31" t="s">
        <v>65</v>
      </c>
      <c r="N22" s="5" t="s">
        <v>7</v>
      </c>
      <c r="O22" s="5" t="s">
        <v>8</v>
      </c>
      <c r="P22" s="5" t="s">
        <v>8</v>
      </c>
      <c r="Q22" s="4" t="s">
        <v>8</v>
      </c>
    </row>
    <row r="23" spans="3:17" x14ac:dyDescent="0.3">
      <c r="C23" s="31" t="s">
        <v>66</v>
      </c>
      <c r="D23" s="5" t="s">
        <v>7</v>
      </c>
      <c r="E23" s="4" t="s">
        <v>8</v>
      </c>
      <c r="F23" s="4" t="s">
        <v>8</v>
      </c>
      <c r="G23" s="4" t="s">
        <v>7</v>
      </c>
      <c r="M23" s="31" t="s">
        <v>66</v>
      </c>
      <c r="N23" s="5" t="s">
        <v>8</v>
      </c>
      <c r="O23" s="5" t="s">
        <v>8</v>
      </c>
      <c r="P23" s="5" t="s">
        <v>7</v>
      </c>
      <c r="Q23" s="4" t="s">
        <v>8</v>
      </c>
    </row>
    <row r="24" spans="3:17" ht="33.6" customHeight="1" x14ac:dyDescent="0.3">
      <c r="C24" s="36" t="s">
        <v>67</v>
      </c>
      <c r="D24" s="37"/>
      <c r="E24" s="37"/>
      <c r="F24" s="37"/>
      <c r="G24" s="38"/>
      <c r="M24" s="36" t="s">
        <v>67</v>
      </c>
      <c r="N24" s="37"/>
      <c r="O24" s="37"/>
      <c r="P24" s="37"/>
      <c r="Q24" s="38"/>
    </row>
  </sheetData>
  <mergeCells count="17">
    <mergeCell ref="C12:G12"/>
    <mergeCell ref="M12:Q12"/>
    <mergeCell ref="C4:C5"/>
    <mergeCell ref="D4:G4"/>
    <mergeCell ref="C2:G2"/>
    <mergeCell ref="M2:Q2"/>
    <mergeCell ref="C3:G3"/>
    <mergeCell ref="N4:Q4"/>
    <mergeCell ref="M4:M5"/>
    <mergeCell ref="M3:Q3"/>
    <mergeCell ref="C15:G15"/>
    <mergeCell ref="C24:G24"/>
    <mergeCell ref="M24:Q24"/>
    <mergeCell ref="N16:Q16"/>
    <mergeCell ref="M16:M17"/>
    <mergeCell ref="D16:G16"/>
    <mergeCell ref="C16:C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D800-99E3-4868-BB60-D8CB880BBF91}">
  <dimension ref="A1:Z32"/>
  <sheetViews>
    <sheetView workbookViewId="0">
      <selection activeCell="Q28" sqref="Q28"/>
    </sheetView>
  </sheetViews>
  <sheetFormatPr defaultRowHeight="14.4" x14ac:dyDescent="0.3"/>
  <sheetData>
    <row r="1" spans="1:26" x14ac:dyDescent="0.3">
      <c r="V1" s="35"/>
      <c r="W1" s="35"/>
      <c r="X1" s="35"/>
      <c r="Y1" s="35"/>
      <c r="Z1" s="35"/>
    </row>
    <row r="2" spans="1:26" x14ac:dyDescent="0.3">
      <c r="B2" s="52" t="s">
        <v>43</v>
      </c>
      <c r="C2" s="52"/>
      <c r="D2" s="52"/>
      <c r="E2" s="52"/>
      <c r="F2" s="52"/>
      <c r="G2" s="52"/>
      <c r="H2" s="52"/>
      <c r="L2" s="52" t="s">
        <v>38</v>
      </c>
      <c r="M2" s="52"/>
      <c r="N2" s="52"/>
      <c r="O2" s="52"/>
      <c r="P2" s="52"/>
      <c r="Q2" s="52"/>
      <c r="R2" s="52"/>
      <c r="V2" s="44"/>
      <c r="W2" s="39"/>
      <c r="X2" s="40"/>
      <c r="Y2" s="40"/>
      <c r="Z2" s="41"/>
    </row>
    <row r="3" spans="1:26" x14ac:dyDescent="0.3">
      <c r="B3" s="8" t="s">
        <v>25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33</v>
      </c>
      <c r="L3" s="8" t="s">
        <v>25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33</v>
      </c>
      <c r="V3" s="45"/>
      <c r="W3" s="1"/>
      <c r="X3" s="1"/>
      <c r="Y3" s="1"/>
      <c r="Z3" s="1"/>
    </row>
    <row r="4" spans="1:26" x14ac:dyDescent="0.3">
      <c r="A4" s="49" t="s">
        <v>35</v>
      </c>
      <c r="B4" s="9" t="s">
        <v>2</v>
      </c>
      <c r="C4" s="10">
        <v>61</v>
      </c>
      <c r="D4" s="7">
        <v>60</v>
      </c>
      <c r="E4" s="7">
        <v>60</v>
      </c>
      <c r="F4" s="7">
        <v>60</v>
      </c>
      <c r="G4" s="7">
        <v>59</v>
      </c>
      <c r="H4" s="7">
        <v>57</v>
      </c>
      <c r="K4" s="49" t="s">
        <v>35</v>
      </c>
      <c r="L4" s="9" t="s">
        <v>2</v>
      </c>
      <c r="M4" s="10">
        <v>59.385738329214341</v>
      </c>
      <c r="N4" s="10">
        <v>59.247745171706754</v>
      </c>
      <c r="O4" s="10">
        <v>59.096195293245586</v>
      </c>
      <c r="P4" s="10">
        <v>57.753667830858923</v>
      </c>
      <c r="Q4" s="10">
        <v>56.780887842452088</v>
      </c>
      <c r="R4" s="10">
        <v>55.017623311489032</v>
      </c>
      <c r="S4" s="23"/>
      <c r="V4" s="3"/>
      <c r="W4" s="4"/>
      <c r="X4" s="4"/>
      <c r="Y4" s="4"/>
      <c r="Z4" s="4"/>
    </row>
    <row r="5" spans="1:26" x14ac:dyDescent="0.3">
      <c r="A5" s="50"/>
      <c r="B5" s="9" t="s">
        <v>3</v>
      </c>
      <c r="C5" s="7">
        <v>63</v>
      </c>
      <c r="D5" s="7">
        <v>63</v>
      </c>
      <c r="E5" s="7">
        <v>63</v>
      </c>
      <c r="F5" s="7">
        <v>64</v>
      </c>
      <c r="G5" s="7">
        <v>64</v>
      </c>
      <c r="H5" s="7">
        <v>65</v>
      </c>
      <c r="K5" s="50"/>
      <c r="L5" s="9" t="s">
        <v>3</v>
      </c>
      <c r="M5" s="10">
        <v>61.831392033873314</v>
      </c>
      <c r="N5" s="10">
        <v>62.340396367067669</v>
      </c>
      <c r="O5" s="10">
        <v>62.613899096254492</v>
      </c>
      <c r="P5" s="10">
        <v>63.284570339734373</v>
      </c>
      <c r="Q5" s="10">
        <v>63.766185060751233</v>
      </c>
      <c r="R5" s="10">
        <v>64</v>
      </c>
      <c r="S5" s="23"/>
    </row>
    <row r="6" spans="1:26" x14ac:dyDescent="0.3">
      <c r="A6" s="50"/>
      <c r="B6" s="9" t="s">
        <v>4</v>
      </c>
      <c r="C6" s="7">
        <v>71</v>
      </c>
      <c r="D6" s="7">
        <v>71</v>
      </c>
      <c r="E6" s="7">
        <v>71</v>
      </c>
      <c r="F6" s="7">
        <v>72</v>
      </c>
      <c r="G6" s="7">
        <v>71</v>
      </c>
      <c r="H6" s="7">
        <v>72</v>
      </c>
      <c r="K6" s="50"/>
      <c r="L6" s="9" t="s">
        <v>4</v>
      </c>
      <c r="M6" s="10">
        <v>70.784161839925346</v>
      </c>
      <c r="N6" s="10">
        <v>70.713994438298002</v>
      </c>
      <c r="O6" s="10">
        <v>70.945933691496009</v>
      </c>
      <c r="P6" s="10">
        <v>71.694828479829411</v>
      </c>
      <c r="Q6" s="10">
        <v>71.342083159846894</v>
      </c>
      <c r="R6" s="10">
        <v>72</v>
      </c>
      <c r="S6" s="23"/>
    </row>
    <row r="7" spans="1:26" x14ac:dyDescent="0.3">
      <c r="A7" s="51"/>
      <c r="B7" s="20" t="s">
        <v>5</v>
      </c>
      <c r="C7" s="18">
        <v>61</v>
      </c>
      <c r="D7" s="18">
        <v>62</v>
      </c>
      <c r="E7" s="18">
        <v>62</v>
      </c>
      <c r="F7" s="18">
        <v>62</v>
      </c>
      <c r="G7" s="18">
        <v>62</v>
      </c>
      <c r="H7" s="18">
        <v>62</v>
      </c>
      <c r="K7" s="51"/>
      <c r="L7" s="20" t="s">
        <v>5</v>
      </c>
      <c r="M7" s="11">
        <v>59.347466337089841</v>
      </c>
      <c r="N7" s="18">
        <v>60</v>
      </c>
      <c r="O7" s="11">
        <v>60.323599078546437</v>
      </c>
      <c r="P7" s="11">
        <v>60.365549181189259</v>
      </c>
      <c r="Q7" s="11">
        <v>60.714629354637047</v>
      </c>
      <c r="R7" s="11">
        <v>61</v>
      </c>
      <c r="S7" s="23"/>
    </row>
    <row r="10" spans="1:26" x14ac:dyDescent="0.3">
      <c r="G10" s="52" t="s">
        <v>44</v>
      </c>
      <c r="H10" s="52"/>
      <c r="I10" s="52"/>
      <c r="J10" s="52"/>
      <c r="K10" s="52"/>
      <c r="L10" s="52"/>
      <c r="M10" s="52"/>
    </row>
    <row r="11" spans="1:26" x14ac:dyDescent="0.3">
      <c r="G11" s="8" t="s">
        <v>25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31</v>
      </c>
      <c r="M11" s="1" t="s">
        <v>33</v>
      </c>
    </row>
    <row r="12" spans="1:26" x14ac:dyDescent="0.3">
      <c r="F12" s="49" t="s">
        <v>35</v>
      </c>
      <c r="G12" s="9" t="s">
        <v>2</v>
      </c>
      <c r="H12" s="10">
        <f>C4-M4</f>
        <v>1.614261670785659</v>
      </c>
      <c r="I12" s="10">
        <f t="shared" ref="I12:M15" si="0">D4-N4</f>
        <v>0.75225482829324619</v>
      </c>
      <c r="J12" s="10">
        <f t="shared" si="0"/>
        <v>0.90380470675441416</v>
      </c>
      <c r="K12" s="10">
        <f t="shared" si="0"/>
        <v>2.2463321691410769</v>
      </c>
      <c r="L12" s="10">
        <f t="shared" si="0"/>
        <v>2.2191121575479116</v>
      </c>
      <c r="M12" s="10">
        <f t="shared" si="0"/>
        <v>1.9823766885109677</v>
      </c>
    </row>
    <row r="13" spans="1:26" x14ac:dyDescent="0.3">
      <c r="F13" s="50"/>
      <c r="G13" s="9" t="s">
        <v>3</v>
      </c>
      <c r="H13" s="10">
        <f t="shared" ref="H13:H15" si="1">C5-M5</f>
        <v>1.1686079661266859</v>
      </c>
      <c r="I13" s="10">
        <f t="shared" si="0"/>
        <v>0.65960363293233115</v>
      </c>
      <c r="J13" s="10">
        <f t="shared" si="0"/>
        <v>0.38610090374550765</v>
      </c>
      <c r="K13" s="10">
        <f t="shared" si="0"/>
        <v>0.71542966026562738</v>
      </c>
      <c r="L13" s="10">
        <f t="shared" si="0"/>
        <v>0.23381493924876651</v>
      </c>
      <c r="M13" s="10">
        <f t="shared" si="0"/>
        <v>1</v>
      </c>
    </row>
    <row r="14" spans="1:26" x14ac:dyDescent="0.3">
      <c r="F14" s="50"/>
      <c r="G14" s="9" t="s">
        <v>4</v>
      </c>
      <c r="H14" s="10">
        <f t="shared" si="1"/>
        <v>0.21583816007465373</v>
      </c>
      <c r="I14" s="10">
        <f t="shared" si="0"/>
        <v>0.28600556170199809</v>
      </c>
      <c r="J14" s="10">
        <f t="shared" si="0"/>
        <v>5.4066308503990967E-2</v>
      </c>
      <c r="K14" s="10">
        <f t="shared" si="0"/>
        <v>0.30517152017058891</v>
      </c>
      <c r="L14" s="10">
        <f t="shared" si="0"/>
        <v>-0.34208315984689364</v>
      </c>
      <c r="M14" s="10">
        <f t="shared" si="0"/>
        <v>0</v>
      </c>
    </row>
    <row r="15" spans="1:26" x14ac:dyDescent="0.3">
      <c r="F15" s="51"/>
      <c r="G15" s="20" t="s">
        <v>5</v>
      </c>
      <c r="H15" s="10">
        <f t="shared" si="1"/>
        <v>1.6525336629101588</v>
      </c>
      <c r="I15" s="10">
        <f t="shared" si="0"/>
        <v>2</v>
      </c>
      <c r="J15" s="10">
        <f t="shared" si="0"/>
        <v>1.6764009214535633</v>
      </c>
      <c r="K15" s="10">
        <f t="shared" si="0"/>
        <v>1.6344508188107412</v>
      </c>
      <c r="L15" s="10">
        <f t="shared" si="0"/>
        <v>1.2853706453629528</v>
      </c>
      <c r="M15" s="10">
        <f t="shared" si="0"/>
        <v>1</v>
      </c>
    </row>
    <row r="19" spans="1:18" x14ac:dyDescent="0.3">
      <c r="B19" s="46" t="s">
        <v>37</v>
      </c>
      <c r="C19" s="47"/>
      <c r="D19" s="47"/>
      <c r="E19" s="47"/>
      <c r="F19" s="47"/>
      <c r="G19" s="47"/>
      <c r="H19" s="48"/>
      <c r="L19" s="46" t="s">
        <v>41</v>
      </c>
      <c r="M19" s="47"/>
      <c r="N19" s="47"/>
      <c r="O19" s="47"/>
      <c r="P19" s="47"/>
      <c r="Q19" s="47"/>
      <c r="R19" s="48"/>
    </row>
    <row r="20" spans="1:18" x14ac:dyDescent="0.3">
      <c r="B20" s="8" t="s">
        <v>25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33</v>
      </c>
      <c r="L20" s="8" t="s">
        <v>25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33</v>
      </c>
    </row>
    <row r="21" spans="1:18" x14ac:dyDescent="0.3">
      <c r="A21" s="49" t="s">
        <v>24</v>
      </c>
      <c r="B21" s="9" t="s">
        <v>10</v>
      </c>
      <c r="C21" s="7">
        <v>53</v>
      </c>
      <c r="D21" s="7">
        <v>54</v>
      </c>
      <c r="E21" s="7">
        <v>55</v>
      </c>
      <c r="F21" s="7">
        <v>55</v>
      </c>
      <c r="G21" s="7">
        <v>56</v>
      </c>
      <c r="H21" s="7">
        <v>57</v>
      </c>
      <c r="K21" s="49" t="s">
        <v>24</v>
      </c>
      <c r="L21" s="9" t="s">
        <v>10</v>
      </c>
      <c r="M21" s="10">
        <v>51.720008944077918</v>
      </c>
      <c r="N21" s="10">
        <v>52.611756523078647</v>
      </c>
      <c r="O21" s="10">
        <v>53.228354650949179</v>
      </c>
      <c r="P21" s="10">
        <v>53.68716882362876</v>
      </c>
      <c r="Q21" s="10">
        <v>54.554658469271075</v>
      </c>
      <c r="R21" s="10">
        <v>55.19350680964763</v>
      </c>
    </row>
    <row r="22" spans="1:18" x14ac:dyDescent="0.3">
      <c r="A22" s="50"/>
      <c r="B22" s="9" t="s">
        <v>11</v>
      </c>
      <c r="C22" s="7">
        <v>53</v>
      </c>
      <c r="D22" s="7">
        <v>54</v>
      </c>
      <c r="E22" s="7">
        <v>56</v>
      </c>
      <c r="F22" s="7">
        <v>56</v>
      </c>
      <c r="G22" s="7">
        <v>57</v>
      </c>
      <c r="H22" s="7">
        <v>58</v>
      </c>
      <c r="K22" s="50"/>
      <c r="L22" s="9" t="s">
        <v>11</v>
      </c>
      <c r="M22" s="10">
        <v>51.684292633679355</v>
      </c>
      <c r="N22" s="10">
        <v>52.692923426799418</v>
      </c>
      <c r="O22" s="10">
        <v>53.893275591873511</v>
      </c>
      <c r="P22" s="10">
        <v>53.994863263142861</v>
      </c>
      <c r="Q22" s="10">
        <v>55.204241030801455</v>
      </c>
      <c r="R22" s="10">
        <v>55.519077332106129</v>
      </c>
    </row>
    <row r="23" spans="1:18" x14ac:dyDescent="0.3">
      <c r="A23" s="50"/>
      <c r="B23" s="9" t="s">
        <v>2</v>
      </c>
      <c r="C23" s="10">
        <v>60</v>
      </c>
      <c r="D23" s="7">
        <v>60</v>
      </c>
      <c r="E23" s="7">
        <v>59</v>
      </c>
      <c r="F23" s="7">
        <v>61</v>
      </c>
      <c r="G23" s="7">
        <v>61</v>
      </c>
      <c r="H23" s="7">
        <v>61</v>
      </c>
      <c r="K23" s="50"/>
      <c r="L23" s="9" t="s">
        <v>2</v>
      </c>
      <c r="M23" s="10">
        <v>58.384077845145761</v>
      </c>
      <c r="N23" s="10">
        <v>59.140811095658073</v>
      </c>
      <c r="O23" s="10">
        <v>56.887055683765929</v>
      </c>
      <c r="P23" s="10">
        <v>60.267584642118059</v>
      </c>
      <c r="Q23" s="10">
        <v>60</v>
      </c>
      <c r="R23" s="10">
        <v>59</v>
      </c>
    </row>
    <row r="24" spans="1:18" x14ac:dyDescent="0.3">
      <c r="A24" s="51"/>
      <c r="B24" s="9" t="s">
        <v>5</v>
      </c>
      <c r="C24" s="7">
        <v>55</v>
      </c>
      <c r="D24" s="7">
        <v>56</v>
      </c>
      <c r="E24" s="7">
        <v>56</v>
      </c>
      <c r="F24" s="7">
        <v>57</v>
      </c>
      <c r="G24" s="7">
        <v>58</v>
      </c>
      <c r="H24" s="7">
        <v>59</v>
      </c>
      <c r="K24" s="51"/>
      <c r="L24" s="9" t="s">
        <v>5</v>
      </c>
      <c r="M24" s="10">
        <v>53.474800012917129</v>
      </c>
      <c r="N24" s="10">
        <v>54.108333981834271</v>
      </c>
      <c r="O24" s="10">
        <v>54.255305647593076</v>
      </c>
      <c r="P24" s="10">
        <v>54.440305774651343</v>
      </c>
      <c r="Q24" s="10">
        <v>55.580712404701849</v>
      </c>
      <c r="R24" s="10">
        <v>55.827515145243929</v>
      </c>
    </row>
    <row r="27" spans="1:18" x14ac:dyDescent="0.3">
      <c r="G27" s="46" t="s">
        <v>42</v>
      </c>
      <c r="H27" s="47"/>
      <c r="I27" s="47"/>
      <c r="J27" s="47"/>
      <c r="K27" s="47"/>
      <c r="L27" s="47"/>
      <c r="M27" s="48"/>
    </row>
    <row r="28" spans="1:18" x14ac:dyDescent="0.3">
      <c r="G28" s="8" t="s">
        <v>25</v>
      </c>
      <c r="H28" s="1" t="s">
        <v>27</v>
      </c>
      <c r="I28" s="1" t="s">
        <v>28</v>
      </c>
      <c r="J28" s="1" t="s">
        <v>29</v>
      </c>
      <c r="K28" s="1" t="s">
        <v>30</v>
      </c>
      <c r="L28" s="1" t="s">
        <v>31</v>
      </c>
      <c r="M28" s="1" t="s">
        <v>33</v>
      </c>
    </row>
    <row r="29" spans="1:18" x14ac:dyDescent="0.3">
      <c r="F29" s="49" t="s">
        <v>24</v>
      </c>
      <c r="G29" s="9" t="s">
        <v>10</v>
      </c>
      <c r="H29" s="10">
        <f>C21-M21</f>
        <v>1.279991055922082</v>
      </c>
      <c r="I29" s="10">
        <f t="shared" ref="I29:M32" si="2">D21-N21</f>
        <v>1.3882434769213532</v>
      </c>
      <c r="J29" s="10">
        <f t="shared" si="2"/>
        <v>1.7716453490508215</v>
      </c>
      <c r="K29" s="10">
        <f t="shared" si="2"/>
        <v>1.3128311763712404</v>
      </c>
      <c r="L29" s="10">
        <f t="shared" si="2"/>
        <v>1.4453415307289248</v>
      </c>
      <c r="M29" s="10">
        <f t="shared" si="2"/>
        <v>1.80649319035237</v>
      </c>
    </row>
    <row r="30" spans="1:18" x14ac:dyDescent="0.3">
      <c r="F30" s="50"/>
      <c r="G30" s="9" t="s">
        <v>11</v>
      </c>
      <c r="H30" s="10">
        <f t="shared" ref="H30:H32" si="3">C22-M22</f>
        <v>1.3157073663206447</v>
      </c>
      <c r="I30" s="10">
        <f t="shared" si="2"/>
        <v>1.3070765732005825</v>
      </c>
      <c r="J30" s="10">
        <f t="shared" si="2"/>
        <v>2.1067244081264889</v>
      </c>
      <c r="K30" s="10">
        <f t="shared" si="2"/>
        <v>2.0051367368571391</v>
      </c>
      <c r="L30" s="10">
        <f t="shared" si="2"/>
        <v>1.7957589691985447</v>
      </c>
      <c r="M30" s="10">
        <f t="shared" si="2"/>
        <v>2.4809226678938714</v>
      </c>
    </row>
    <row r="31" spans="1:18" x14ac:dyDescent="0.3">
      <c r="F31" s="50"/>
      <c r="G31" s="9" t="s">
        <v>2</v>
      </c>
      <c r="H31" s="10">
        <f t="shared" si="3"/>
        <v>1.6159221548542391</v>
      </c>
      <c r="I31" s="10">
        <f t="shared" si="2"/>
        <v>0.85918890434192718</v>
      </c>
      <c r="J31" s="10">
        <f t="shared" si="2"/>
        <v>2.1129443162340706</v>
      </c>
      <c r="K31" s="10">
        <f t="shared" si="2"/>
        <v>0.73241535788194057</v>
      </c>
      <c r="L31" s="10">
        <f t="shared" si="2"/>
        <v>1</v>
      </c>
      <c r="M31" s="10">
        <f t="shared" si="2"/>
        <v>2</v>
      </c>
    </row>
    <row r="32" spans="1:18" x14ac:dyDescent="0.3">
      <c r="F32" s="51"/>
      <c r="G32" s="9" t="s">
        <v>5</v>
      </c>
      <c r="H32" s="10">
        <f t="shared" si="3"/>
        <v>1.5251999870828712</v>
      </c>
      <c r="I32" s="10">
        <f t="shared" si="2"/>
        <v>1.8916660181657292</v>
      </c>
      <c r="J32" s="10">
        <f t="shared" si="2"/>
        <v>1.7446943524069241</v>
      </c>
      <c r="K32" s="10">
        <f t="shared" si="2"/>
        <v>2.5596942253486574</v>
      </c>
      <c r="L32" s="10">
        <f t="shared" si="2"/>
        <v>2.419287595298151</v>
      </c>
      <c r="M32" s="10">
        <f t="shared" si="2"/>
        <v>3.1724848547560711</v>
      </c>
    </row>
  </sheetData>
  <mergeCells count="15">
    <mergeCell ref="F29:F32"/>
    <mergeCell ref="V1:Z1"/>
    <mergeCell ref="B2:H2"/>
    <mergeCell ref="L2:R2"/>
    <mergeCell ref="V2:V3"/>
    <mergeCell ref="W2:Z2"/>
    <mergeCell ref="B19:H19"/>
    <mergeCell ref="L19:R19"/>
    <mergeCell ref="K21:K24"/>
    <mergeCell ref="A4:A7"/>
    <mergeCell ref="K4:K7"/>
    <mergeCell ref="G10:M10"/>
    <mergeCell ref="F12:F15"/>
    <mergeCell ref="G27:M27"/>
    <mergeCell ref="A21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3D34-ADB3-485E-9B06-043C26F81BB7}">
  <dimension ref="A1:T41"/>
  <sheetViews>
    <sheetView topLeftCell="A9" workbookViewId="0">
      <selection activeCell="B11" sqref="A11:XFD11"/>
    </sheetView>
  </sheetViews>
  <sheetFormatPr defaultRowHeight="14.4" x14ac:dyDescent="0.3"/>
  <sheetData>
    <row r="1" spans="1:20" x14ac:dyDescent="0.3">
      <c r="F1" s="59" t="s">
        <v>55</v>
      </c>
      <c r="G1" s="60"/>
      <c r="H1" s="60"/>
      <c r="I1" s="60"/>
      <c r="J1" s="60"/>
      <c r="K1" s="60"/>
      <c r="L1" s="60"/>
      <c r="M1" s="60"/>
      <c r="N1" s="60"/>
      <c r="O1" s="60"/>
    </row>
    <row r="3" spans="1:20" x14ac:dyDescent="0.3">
      <c r="B3" s="59" t="s">
        <v>56</v>
      </c>
      <c r="C3" s="60"/>
      <c r="D3" s="60"/>
      <c r="E3" s="60"/>
      <c r="F3" s="60"/>
      <c r="G3" s="60"/>
      <c r="H3" s="60"/>
      <c r="I3" s="60"/>
      <c r="M3" s="59" t="s">
        <v>57</v>
      </c>
      <c r="N3" s="60"/>
      <c r="O3" s="60"/>
      <c r="P3" s="60"/>
      <c r="Q3" s="60"/>
      <c r="R3" s="60"/>
      <c r="S3" s="60"/>
      <c r="T3" s="60"/>
    </row>
    <row r="4" spans="1:20" x14ac:dyDescent="0.3">
      <c r="B4" s="60"/>
      <c r="C4" s="60"/>
      <c r="D4" s="60"/>
      <c r="E4" s="60"/>
      <c r="F4" s="60"/>
      <c r="G4" s="60"/>
      <c r="H4" s="60"/>
      <c r="I4" s="60"/>
      <c r="M4" s="60"/>
      <c r="N4" s="60"/>
      <c r="O4" s="60"/>
      <c r="P4" s="60"/>
      <c r="Q4" s="60"/>
      <c r="R4" s="60"/>
      <c r="S4" s="60"/>
      <c r="T4" s="60"/>
    </row>
    <row r="6" spans="1:20" x14ac:dyDescent="0.3">
      <c r="A6" s="60" t="s">
        <v>35</v>
      </c>
      <c r="B6" s="46" t="s">
        <v>58</v>
      </c>
      <c r="C6" s="47"/>
      <c r="D6" s="47"/>
      <c r="E6" s="47"/>
      <c r="F6" s="47"/>
      <c r="G6" s="47"/>
      <c r="H6" s="47"/>
      <c r="I6" s="48"/>
      <c r="L6" s="60" t="s">
        <v>35</v>
      </c>
      <c r="M6" s="46" t="s">
        <v>58</v>
      </c>
      <c r="N6" s="47"/>
      <c r="O6" s="47"/>
      <c r="P6" s="47"/>
      <c r="Q6" s="47"/>
      <c r="R6" s="47"/>
      <c r="S6" s="47"/>
      <c r="T6" s="48"/>
    </row>
    <row r="7" spans="1:20" x14ac:dyDescent="0.3">
      <c r="A7" s="60"/>
      <c r="B7" s="8" t="s">
        <v>25</v>
      </c>
      <c r="C7" s="8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L7" s="60"/>
      <c r="M7" s="8" t="s">
        <v>25</v>
      </c>
      <c r="N7" s="8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</row>
    <row r="8" spans="1:20" x14ac:dyDescent="0.3">
      <c r="A8" s="60"/>
      <c r="B8" s="24" t="s">
        <v>2</v>
      </c>
      <c r="C8" s="26">
        <v>60</v>
      </c>
      <c r="D8" s="25">
        <v>61</v>
      </c>
      <c r="E8" s="26">
        <v>61</v>
      </c>
      <c r="F8" s="26">
        <v>59</v>
      </c>
      <c r="G8" s="26">
        <v>59</v>
      </c>
      <c r="H8" s="26">
        <v>55</v>
      </c>
      <c r="I8" s="26">
        <v>55</v>
      </c>
      <c r="L8" s="60"/>
      <c r="M8" s="24" t="s">
        <v>2</v>
      </c>
      <c r="N8" s="26">
        <v>59</v>
      </c>
      <c r="O8" s="25">
        <v>60</v>
      </c>
      <c r="P8" s="26">
        <v>60</v>
      </c>
      <c r="Q8" s="26">
        <v>58</v>
      </c>
      <c r="R8" s="26">
        <v>57</v>
      </c>
      <c r="S8" s="26">
        <v>53</v>
      </c>
      <c r="T8" s="26">
        <v>52</v>
      </c>
    </row>
    <row r="9" spans="1:20" x14ac:dyDescent="0.3">
      <c r="A9" s="60"/>
      <c r="B9" s="9" t="s">
        <v>3</v>
      </c>
      <c r="C9" s="7">
        <v>60</v>
      </c>
      <c r="D9" s="7">
        <v>61</v>
      </c>
      <c r="E9" s="7">
        <v>61</v>
      </c>
      <c r="F9" s="7">
        <v>62</v>
      </c>
      <c r="G9" s="7">
        <v>63</v>
      </c>
      <c r="H9" s="7">
        <v>64</v>
      </c>
      <c r="I9" s="7">
        <v>66</v>
      </c>
      <c r="L9" s="60"/>
      <c r="M9" s="9" t="s">
        <v>3</v>
      </c>
      <c r="N9" s="7">
        <v>59</v>
      </c>
      <c r="O9" s="7">
        <v>60</v>
      </c>
      <c r="P9" s="7">
        <v>60</v>
      </c>
      <c r="Q9" s="7">
        <v>62</v>
      </c>
      <c r="R9" s="7">
        <v>62</v>
      </c>
      <c r="S9" s="7">
        <v>64</v>
      </c>
      <c r="T9" s="7">
        <v>65</v>
      </c>
    </row>
    <row r="10" spans="1:20" x14ac:dyDescent="0.3">
      <c r="A10" s="60"/>
      <c r="B10" s="9" t="s">
        <v>4</v>
      </c>
      <c r="C10" s="7">
        <v>69</v>
      </c>
      <c r="D10" s="7">
        <v>71</v>
      </c>
      <c r="E10" s="7">
        <v>72</v>
      </c>
      <c r="F10" s="7">
        <v>71</v>
      </c>
      <c r="G10" s="7">
        <v>72</v>
      </c>
      <c r="H10" s="7">
        <v>72</v>
      </c>
      <c r="I10" s="7">
        <v>72</v>
      </c>
      <c r="L10" s="60"/>
      <c r="M10" s="9" t="s">
        <v>4</v>
      </c>
      <c r="N10" s="7">
        <v>70</v>
      </c>
      <c r="O10" s="7">
        <v>71</v>
      </c>
      <c r="P10" s="7">
        <v>72</v>
      </c>
      <c r="Q10" s="7">
        <v>71</v>
      </c>
      <c r="R10" s="7">
        <v>72</v>
      </c>
      <c r="S10" s="7">
        <v>73</v>
      </c>
      <c r="T10" s="7">
        <v>73</v>
      </c>
    </row>
    <row r="11" spans="1:20" x14ac:dyDescent="0.3">
      <c r="A11" s="60"/>
      <c r="B11" s="20" t="s">
        <v>5</v>
      </c>
      <c r="C11" s="18">
        <v>60</v>
      </c>
      <c r="D11" s="18">
        <v>60</v>
      </c>
      <c r="E11" s="18">
        <v>61</v>
      </c>
      <c r="F11" s="18">
        <v>60</v>
      </c>
      <c r="G11" s="18">
        <v>62</v>
      </c>
      <c r="H11" s="18">
        <v>62</v>
      </c>
      <c r="I11" s="18">
        <v>63</v>
      </c>
      <c r="L11" s="60"/>
      <c r="M11" s="20" t="s">
        <v>5</v>
      </c>
      <c r="N11" s="18">
        <v>58</v>
      </c>
      <c r="O11" s="18">
        <v>59</v>
      </c>
      <c r="P11" s="18">
        <v>60</v>
      </c>
      <c r="Q11" s="18">
        <v>59</v>
      </c>
      <c r="R11" s="18">
        <v>60</v>
      </c>
      <c r="S11" s="18">
        <v>61</v>
      </c>
      <c r="T11" s="18">
        <v>62</v>
      </c>
    </row>
    <row r="12" spans="1:20" x14ac:dyDescent="0.3">
      <c r="A12" s="12"/>
      <c r="B12" s="27"/>
      <c r="C12" s="28"/>
      <c r="D12" s="28"/>
      <c r="E12" s="28"/>
      <c r="F12" s="28"/>
      <c r="G12" s="28"/>
      <c r="H12" s="28"/>
      <c r="I12" s="28"/>
      <c r="L12" s="12"/>
      <c r="M12" s="27"/>
      <c r="N12" s="28"/>
      <c r="O12" s="28"/>
      <c r="P12" s="28"/>
      <c r="Q12" s="28"/>
      <c r="R12" s="28"/>
      <c r="S12" s="28"/>
      <c r="T12" s="28"/>
    </row>
    <row r="13" spans="1:20" x14ac:dyDescent="0.3">
      <c r="A13" s="12"/>
      <c r="B13" s="27"/>
      <c r="C13" s="28"/>
      <c r="D13" s="28"/>
      <c r="E13" s="28"/>
      <c r="F13" s="28"/>
      <c r="G13" s="28"/>
      <c r="H13" s="28"/>
      <c r="I13" s="28"/>
      <c r="L13" s="12"/>
      <c r="M13" s="27"/>
      <c r="N13" s="28"/>
      <c r="O13" s="28"/>
      <c r="P13" s="28"/>
      <c r="Q13" s="28"/>
      <c r="R13" s="28"/>
      <c r="S13" s="28"/>
      <c r="T13" s="28"/>
    </row>
    <row r="14" spans="1:20" x14ac:dyDescent="0.3">
      <c r="A14" s="12"/>
      <c r="B14" s="27"/>
      <c r="C14" s="28"/>
      <c r="D14" s="28"/>
      <c r="E14" s="28"/>
      <c r="F14" s="28"/>
      <c r="G14" s="53" t="s">
        <v>59</v>
      </c>
      <c r="H14" s="54"/>
      <c r="I14" s="54"/>
      <c r="J14" s="54"/>
      <c r="K14" s="54"/>
      <c r="L14" s="54"/>
      <c r="M14" s="54"/>
      <c r="N14" s="55"/>
      <c r="O14" s="28"/>
      <c r="P14" s="28"/>
      <c r="Q14" s="28"/>
      <c r="R14" s="28"/>
      <c r="S14" s="28"/>
      <c r="T14" s="28"/>
    </row>
    <row r="15" spans="1:20" x14ac:dyDescent="0.3">
      <c r="A15" s="12"/>
      <c r="B15" s="27"/>
      <c r="C15" s="28"/>
      <c r="D15" s="28"/>
      <c r="E15" s="28"/>
      <c r="F15" s="28"/>
      <c r="G15" s="56"/>
      <c r="H15" s="57"/>
      <c r="I15" s="57"/>
      <c r="J15" s="57"/>
      <c r="K15" s="57"/>
      <c r="L15" s="57"/>
      <c r="M15" s="57"/>
      <c r="N15" s="58"/>
      <c r="O15" s="28"/>
      <c r="P15" s="28"/>
      <c r="Q15" s="28"/>
      <c r="R15" s="28"/>
      <c r="S15" s="28"/>
      <c r="T15" s="28"/>
    </row>
    <row r="16" spans="1:20" x14ac:dyDescent="0.3">
      <c r="A16" s="12"/>
      <c r="B16" s="27"/>
      <c r="C16" s="28"/>
      <c r="D16" s="28"/>
      <c r="E16" s="28"/>
      <c r="F16" s="28"/>
      <c r="G16" s="8" t="s">
        <v>25</v>
      </c>
      <c r="H16" s="8" t="s">
        <v>26</v>
      </c>
      <c r="I16" s="1" t="s">
        <v>27</v>
      </c>
      <c r="J16" s="1" t="s">
        <v>28</v>
      </c>
      <c r="K16" s="1" t="s">
        <v>29</v>
      </c>
      <c r="L16" s="1" t="s">
        <v>30</v>
      </c>
      <c r="M16" s="1" t="s">
        <v>31</v>
      </c>
      <c r="N16" s="1" t="s">
        <v>32</v>
      </c>
      <c r="O16" s="28"/>
      <c r="P16" s="28"/>
      <c r="Q16" s="28"/>
      <c r="R16" s="28"/>
      <c r="S16" s="28"/>
      <c r="T16" s="28"/>
    </row>
    <row r="17" spans="1:20" x14ac:dyDescent="0.3">
      <c r="A17" s="12"/>
      <c r="B17" s="27"/>
      <c r="C17" s="28"/>
      <c r="D17" s="28"/>
      <c r="E17" s="28"/>
      <c r="F17" s="28"/>
      <c r="G17" s="24" t="s">
        <v>2</v>
      </c>
      <c r="H17" s="26">
        <f>C8-N8</f>
        <v>1</v>
      </c>
      <c r="I17" s="26">
        <f t="shared" ref="I17:N20" si="0">D8-O8</f>
        <v>1</v>
      </c>
      <c r="J17" s="26">
        <f t="shared" si="0"/>
        <v>1</v>
      </c>
      <c r="K17" s="26">
        <f t="shared" si="0"/>
        <v>1</v>
      </c>
      <c r="L17" s="26">
        <f t="shared" si="0"/>
        <v>2</v>
      </c>
      <c r="M17" s="26">
        <f t="shared" si="0"/>
        <v>2</v>
      </c>
      <c r="N17" s="26">
        <f t="shared" si="0"/>
        <v>3</v>
      </c>
      <c r="O17" s="28"/>
      <c r="P17" s="28"/>
      <c r="Q17" s="28"/>
      <c r="R17" s="28"/>
      <c r="S17" s="28"/>
      <c r="T17" s="28"/>
    </row>
    <row r="18" spans="1:20" x14ac:dyDescent="0.3">
      <c r="A18" s="12"/>
      <c r="B18" s="27"/>
      <c r="C18" s="28"/>
      <c r="D18" s="28"/>
      <c r="E18" s="28"/>
      <c r="F18" s="28"/>
      <c r="G18" s="9" t="s">
        <v>3</v>
      </c>
      <c r="H18" s="7">
        <f>C9-N9</f>
        <v>1</v>
      </c>
      <c r="I18" s="7">
        <f t="shared" si="0"/>
        <v>1</v>
      </c>
      <c r="J18" s="7">
        <f t="shared" si="0"/>
        <v>1</v>
      </c>
      <c r="K18" s="7">
        <f t="shared" si="0"/>
        <v>0</v>
      </c>
      <c r="L18" s="7">
        <f t="shared" si="0"/>
        <v>1</v>
      </c>
      <c r="M18" s="7">
        <f t="shared" si="0"/>
        <v>0</v>
      </c>
      <c r="N18" s="7">
        <f t="shared" si="0"/>
        <v>1</v>
      </c>
      <c r="O18" s="28"/>
      <c r="P18" s="28"/>
      <c r="Q18" s="28"/>
      <c r="R18" s="28"/>
      <c r="S18" s="28"/>
      <c r="T18" s="28"/>
    </row>
    <row r="19" spans="1:20" x14ac:dyDescent="0.3">
      <c r="A19" s="12"/>
      <c r="B19" s="27"/>
      <c r="C19" s="28"/>
      <c r="D19" s="28"/>
      <c r="E19" s="28"/>
      <c r="F19" s="28"/>
      <c r="G19" s="9" t="s">
        <v>4</v>
      </c>
      <c r="H19" s="7">
        <f>C10-N10</f>
        <v>-1</v>
      </c>
      <c r="I19" s="7">
        <f t="shared" si="0"/>
        <v>0</v>
      </c>
      <c r="J19" s="7">
        <f t="shared" si="0"/>
        <v>0</v>
      </c>
      <c r="K19" s="7">
        <f t="shared" si="0"/>
        <v>0</v>
      </c>
      <c r="L19" s="7">
        <f t="shared" si="0"/>
        <v>0</v>
      </c>
      <c r="M19" s="7">
        <f t="shared" si="0"/>
        <v>-1</v>
      </c>
      <c r="N19" s="7">
        <f t="shared" si="0"/>
        <v>-1</v>
      </c>
      <c r="O19" s="28"/>
      <c r="P19" s="28"/>
      <c r="Q19" s="28"/>
      <c r="R19" s="28"/>
      <c r="S19" s="28"/>
      <c r="T19" s="28"/>
    </row>
    <row r="20" spans="1:20" x14ac:dyDescent="0.3">
      <c r="A20" s="12"/>
      <c r="B20" s="27"/>
      <c r="C20" s="28"/>
      <c r="D20" s="28"/>
      <c r="E20" s="28"/>
      <c r="F20" s="28"/>
      <c r="G20" s="20" t="s">
        <v>5</v>
      </c>
      <c r="H20" s="18">
        <f>C11-N11</f>
        <v>2</v>
      </c>
      <c r="I20" s="18">
        <f t="shared" si="0"/>
        <v>1</v>
      </c>
      <c r="J20" s="18">
        <f t="shared" si="0"/>
        <v>1</v>
      </c>
      <c r="K20" s="18">
        <f t="shared" si="0"/>
        <v>1</v>
      </c>
      <c r="L20" s="18">
        <f t="shared" si="0"/>
        <v>2</v>
      </c>
      <c r="M20" s="18">
        <f t="shared" si="0"/>
        <v>1</v>
      </c>
      <c r="N20" s="18">
        <f t="shared" si="0"/>
        <v>1</v>
      </c>
      <c r="O20" s="28"/>
      <c r="P20" s="28"/>
      <c r="Q20" s="28"/>
      <c r="R20" s="28"/>
      <c r="S20" s="28"/>
      <c r="T20" s="28"/>
    </row>
    <row r="23" spans="1:20" x14ac:dyDescent="0.3">
      <c r="M23" s="59" t="s">
        <v>57</v>
      </c>
      <c r="N23" s="60"/>
      <c r="O23" s="60"/>
      <c r="P23" s="60"/>
      <c r="Q23" s="60"/>
      <c r="R23" s="60"/>
      <c r="S23" s="60"/>
      <c r="T23" s="60"/>
    </row>
    <row r="24" spans="1:20" x14ac:dyDescent="0.3">
      <c r="B24" s="61" t="s">
        <v>56</v>
      </c>
      <c r="C24" s="62"/>
      <c r="D24" s="62"/>
      <c r="E24" s="62"/>
      <c r="F24" s="62"/>
      <c r="G24" s="62"/>
      <c r="H24" s="63"/>
      <c r="I24" s="29"/>
      <c r="M24" s="60"/>
      <c r="N24" s="60"/>
      <c r="O24" s="60"/>
      <c r="P24" s="60"/>
      <c r="Q24" s="60"/>
      <c r="R24" s="60"/>
      <c r="S24" s="60"/>
      <c r="T24" s="60"/>
    </row>
    <row r="25" spans="1:20" x14ac:dyDescent="0.3">
      <c r="A25" s="12"/>
      <c r="B25" s="64"/>
      <c r="C25" s="65"/>
      <c r="D25" s="65"/>
      <c r="E25" s="65"/>
      <c r="F25" s="65"/>
      <c r="G25" s="65"/>
      <c r="H25" s="66"/>
      <c r="I25" s="29"/>
    </row>
    <row r="26" spans="1:20" x14ac:dyDescent="0.3">
      <c r="A26" s="67" t="s">
        <v>24</v>
      </c>
      <c r="B26" s="70" t="s">
        <v>60</v>
      </c>
      <c r="C26" s="70"/>
      <c r="D26" s="70"/>
      <c r="E26" s="70"/>
      <c r="F26" s="70"/>
      <c r="G26" s="70"/>
      <c r="H26" s="70"/>
      <c r="I26" t="s">
        <v>18</v>
      </c>
      <c r="L26" s="67" t="s">
        <v>24</v>
      </c>
      <c r="M26" s="46" t="s">
        <v>61</v>
      </c>
      <c r="N26" s="47"/>
      <c r="O26" s="47"/>
      <c r="P26" s="47"/>
      <c r="Q26" s="47"/>
      <c r="R26" s="47"/>
      <c r="S26" s="47"/>
      <c r="T26" s="48"/>
    </row>
    <row r="27" spans="1:20" x14ac:dyDescent="0.3">
      <c r="A27" s="68"/>
      <c r="B27" s="8" t="s">
        <v>25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33</v>
      </c>
      <c r="L27" s="68"/>
      <c r="M27" s="8" t="s">
        <v>25</v>
      </c>
      <c r="N27" s="8" t="s">
        <v>26</v>
      </c>
      <c r="O27" s="1" t="s">
        <v>27</v>
      </c>
      <c r="P27" s="1" t="s">
        <v>28</v>
      </c>
      <c r="Q27" s="1" t="s">
        <v>29</v>
      </c>
      <c r="R27" s="1" t="s">
        <v>30</v>
      </c>
      <c r="S27" s="1" t="s">
        <v>31</v>
      </c>
      <c r="T27" s="1" t="s">
        <v>32</v>
      </c>
    </row>
    <row r="28" spans="1:20" x14ac:dyDescent="0.3">
      <c r="A28" s="68"/>
      <c r="B28" s="24" t="s">
        <v>2</v>
      </c>
      <c r="C28" s="25">
        <v>60</v>
      </c>
      <c r="D28" s="26">
        <v>60</v>
      </c>
      <c r="E28" s="26">
        <v>59</v>
      </c>
      <c r="F28" s="26">
        <v>61</v>
      </c>
      <c r="G28" s="26">
        <v>61</v>
      </c>
      <c r="H28" s="26">
        <v>61</v>
      </c>
      <c r="L28" s="68"/>
      <c r="M28" s="24" t="s">
        <v>2</v>
      </c>
      <c r="N28" s="26">
        <v>58</v>
      </c>
      <c r="O28" s="25">
        <v>60</v>
      </c>
      <c r="P28" s="26">
        <v>61</v>
      </c>
      <c r="Q28" s="26">
        <v>62</v>
      </c>
      <c r="R28" s="26">
        <v>62</v>
      </c>
      <c r="S28" s="26">
        <v>61</v>
      </c>
      <c r="T28" s="26">
        <v>61</v>
      </c>
    </row>
    <row r="29" spans="1:20" x14ac:dyDescent="0.3">
      <c r="A29" s="68"/>
      <c r="B29" s="9" t="s">
        <v>10</v>
      </c>
      <c r="C29" s="7">
        <v>53</v>
      </c>
      <c r="D29" s="7">
        <v>54</v>
      </c>
      <c r="E29" s="7">
        <v>55</v>
      </c>
      <c r="F29" s="7">
        <v>55</v>
      </c>
      <c r="G29" s="7">
        <v>56</v>
      </c>
      <c r="H29" s="7">
        <v>57</v>
      </c>
      <c r="L29" s="68"/>
      <c r="M29" s="9" t="s">
        <v>10</v>
      </c>
      <c r="N29" s="7">
        <v>53</v>
      </c>
      <c r="O29" s="7">
        <v>54</v>
      </c>
      <c r="P29" s="7">
        <v>55</v>
      </c>
      <c r="Q29" s="7">
        <v>54</v>
      </c>
      <c r="R29" s="7">
        <v>55</v>
      </c>
      <c r="S29" s="7">
        <v>57</v>
      </c>
      <c r="T29" s="7">
        <v>57</v>
      </c>
    </row>
    <row r="30" spans="1:20" x14ac:dyDescent="0.3">
      <c r="A30" s="68"/>
      <c r="B30" s="9" t="s">
        <v>11</v>
      </c>
      <c r="C30" s="7">
        <v>53</v>
      </c>
      <c r="D30" s="7">
        <v>54</v>
      </c>
      <c r="E30" s="7">
        <v>56</v>
      </c>
      <c r="F30" s="7">
        <v>56</v>
      </c>
      <c r="G30" s="7">
        <v>57</v>
      </c>
      <c r="H30" s="7">
        <v>58</v>
      </c>
      <c r="L30" s="68"/>
      <c r="M30" s="9" t="s">
        <v>11</v>
      </c>
      <c r="N30" s="7">
        <v>52</v>
      </c>
      <c r="O30" s="7">
        <v>54</v>
      </c>
      <c r="P30" s="7">
        <v>55</v>
      </c>
      <c r="Q30" s="7">
        <v>56</v>
      </c>
      <c r="R30" s="7">
        <v>57</v>
      </c>
      <c r="S30" s="7">
        <v>59</v>
      </c>
      <c r="T30" s="7">
        <v>59</v>
      </c>
    </row>
    <row r="31" spans="1:20" x14ac:dyDescent="0.3">
      <c r="A31" s="69"/>
      <c r="B31" s="9" t="s">
        <v>5</v>
      </c>
      <c r="C31" s="7">
        <v>55</v>
      </c>
      <c r="D31" s="7">
        <v>56</v>
      </c>
      <c r="E31" s="7">
        <v>56</v>
      </c>
      <c r="F31" s="7">
        <v>57</v>
      </c>
      <c r="G31" s="7">
        <v>58</v>
      </c>
      <c r="H31" s="7">
        <v>59</v>
      </c>
      <c r="L31" s="69"/>
      <c r="M31" s="20" t="s">
        <v>5</v>
      </c>
      <c r="N31" s="18">
        <v>54</v>
      </c>
      <c r="O31" s="18">
        <v>55</v>
      </c>
      <c r="P31" s="18">
        <v>57</v>
      </c>
      <c r="Q31" s="18">
        <v>56</v>
      </c>
      <c r="R31" s="18">
        <v>57</v>
      </c>
      <c r="S31" s="18">
        <v>59</v>
      </c>
      <c r="T31" s="18">
        <v>59</v>
      </c>
    </row>
    <row r="35" spans="7:14" x14ac:dyDescent="0.3">
      <c r="G35" s="53" t="s">
        <v>59</v>
      </c>
      <c r="H35" s="54"/>
      <c r="I35" s="54"/>
      <c r="J35" s="54"/>
      <c r="K35" s="54"/>
      <c r="L35" s="54"/>
      <c r="M35" s="55"/>
      <c r="N35" s="30"/>
    </row>
    <row r="36" spans="7:14" x14ac:dyDescent="0.3">
      <c r="G36" s="56"/>
      <c r="H36" s="57"/>
      <c r="I36" s="57"/>
      <c r="J36" s="57"/>
      <c r="K36" s="57"/>
      <c r="L36" s="57"/>
      <c r="M36" s="58"/>
      <c r="N36" s="30"/>
    </row>
    <row r="37" spans="7:14" x14ac:dyDescent="0.3">
      <c r="G37" s="8" t="s">
        <v>25</v>
      </c>
      <c r="H37" s="8" t="s">
        <v>26</v>
      </c>
      <c r="I37" s="1" t="s">
        <v>27</v>
      </c>
      <c r="J37" s="1" t="s">
        <v>28</v>
      </c>
      <c r="K37" s="1" t="s">
        <v>29</v>
      </c>
      <c r="L37" s="1" t="s">
        <v>30</v>
      </c>
      <c r="M37" s="1" t="s">
        <v>31</v>
      </c>
    </row>
    <row r="38" spans="7:14" x14ac:dyDescent="0.3">
      <c r="G38" s="24" t="s">
        <v>2</v>
      </c>
      <c r="H38" s="25">
        <f>C28-N28</f>
        <v>2</v>
      </c>
      <c r="I38" s="25">
        <f t="shared" ref="I38:M41" si="1">D28-O28</f>
        <v>0</v>
      </c>
      <c r="J38" s="25">
        <f t="shared" si="1"/>
        <v>-2</v>
      </c>
      <c r="K38" s="25">
        <f t="shared" si="1"/>
        <v>-1</v>
      </c>
      <c r="L38" s="25">
        <f t="shared" si="1"/>
        <v>-1</v>
      </c>
      <c r="M38" s="25">
        <f t="shared" si="1"/>
        <v>0</v>
      </c>
    </row>
    <row r="39" spans="7:14" x14ac:dyDescent="0.3">
      <c r="G39" s="9" t="s">
        <v>3</v>
      </c>
      <c r="H39" s="7">
        <f>C29-N29</f>
        <v>0</v>
      </c>
      <c r="I39" s="7">
        <f t="shared" si="1"/>
        <v>0</v>
      </c>
      <c r="J39" s="7">
        <f t="shared" si="1"/>
        <v>0</v>
      </c>
      <c r="K39" s="7">
        <f t="shared" si="1"/>
        <v>1</v>
      </c>
      <c r="L39" s="7">
        <f t="shared" si="1"/>
        <v>1</v>
      </c>
      <c r="M39" s="7">
        <f t="shared" si="1"/>
        <v>0</v>
      </c>
    </row>
    <row r="40" spans="7:14" x14ac:dyDescent="0.3">
      <c r="G40" s="9" t="s">
        <v>4</v>
      </c>
      <c r="H40" s="7">
        <f>C30-N30</f>
        <v>1</v>
      </c>
      <c r="I40" s="7">
        <f t="shared" si="1"/>
        <v>0</v>
      </c>
      <c r="J40" s="7">
        <f t="shared" si="1"/>
        <v>1</v>
      </c>
      <c r="K40" s="7">
        <f t="shared" si="1"/>
        <v>0</v>
      </c>
      <c r="L40" s="7">
        <f t="shared" si="1"/>
        <v>0</v>
      </c>
      <c r="M40" s="7">
        <f t="shared" si="1"/>
        <v>-1</v>
      </c>
    </row>
    <row r="41" spans="7:14" x14ac:dyDescent="0.3">
      <c r="G41" s="20" t="s">
        <v>5</v>
      </c>
      <c r="H41" s="18">
        <f>C31-N31</f>
        <v>1</v>
      </c>
      <c r="I41" s="18">
        <f t="shared" si="1"/>
        <v>1</v>
      </c>
      <c r="J41" s="18">
        <f t="shared" si="1"/>
        <v>-1</v>
      </c>
      <c r="K41" s="18">
        <f t="shared" si="1"/>
        <v>1</v>
      </c>
      <c r="L41" s="18">
        <f t="shared" si="1"/>
        <v>1</v>
      </c>
      <c r="M41" s="18">
        <f t="shared" si="1"/>
        <v>0</v>
      </c>
    </row>
  </sheetData>
  <mergeCells count="15">
    <mergeCell ref="F1:O1"/>
    <mergeCell ref="B3:I4"/>
    <mergeCell ref="M3:T4"/>
    <mergeCell ref="A6:A11"/>
    <mergeCell ref="B6:I6"/>
    <mergeCell ref="L6:L11"/>
    <mergeCell ref="M6:T6"/>
    <mergeCell ref="G35:M36"/>
    <mergeCell ref="G14:N15"/>
    <mergeCell ref="M23:T24"/>
    <mergeCell ref="B24:H25"/>
    <mergeCell ref="A26:A31"/>
    <mergeCell ref="B26:H26"/>
    <mergeCell ref="L26:L31"/>
    <mergeCell ref="M26:T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0B8B-0EFE-4979-9AA3-035C31473FD8}">
  <dimension ref="A2:AB31"/>
  <sheetViews>
    <sheetView workbookViewId="0">
      <selection activeCell="J7" sqref="J7"/>
    </sheetView>
  </sheetViews>
  <sheetFormatPr defaultRowHeight="14.4" x14ac:dyDescent="0.3"/>
  <cols>
    <col min="24" max="24" width="14.109375" bestFit="1" customWidth="1"/>
  </cols>
  <sheetData>
    <row r="2" spans="1:28" x14ac:dyDescent="0.3">
      <c r="B2" s="52" t="s">
        <v>22</v>
      </c>
      <c r="C2" s="52"/>
      <c r="D2" s="52"/>
      <c r="E2" s="52"/>
      <c r="F2" s="52"/>
      <c r="G2" s="52"/>
      <c r="H2" s="52"/>
      <c r="I2" s="52"/>
      <c r="M2" s="52" t="s">
        <v>23</v>
      </c>
      <c r="N2" s="52"/>
      <c r="O2" s="52"/>
      <c r="P2" s="52"/>
      <c r="Q2" s="52"/>
      <c r="R2" s="52"/>
      <c r="S2" s="52"/>
      <c r="T2" s="52"/>
      <c r="X2" s="35"/>
      <c r="Y2" s="35"/>
      <c r="Z2" s="35"/>
      <c r="AA2" s="35"/>
      <c r="AB2" s="35"/>
    </row>
    <row r="3" spans="1:28" x14ac:dyDescent="0.3">
      <c r="A3" s="75" t="s">
        <v>35</v>
      </c>
      <c r="B3" s="8" t="s">
        <v>25</v>
      </c>
      <c r="C3" s="8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L3" s="75" t="s">
        <v>35</v>
      </c>
      <c r="M3" s="8" t="s">
        <v>25</v>
      </c>
      <c r="N3" s="8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X3" s="44"/>
      <c r="Y3" s="39"/>
      <c r="Z3" s="40"/>
      <c r="AA3" s="40"/>
      <c r="AB3" s="41"/>
    </row>
    <row r="4" spans="1:28" x14ac:dyDescent="0.3">
      <c r="A4" s="75"/>
      <c r="B4" s="9" t="s">
        <v>2</v>
      </c>
      <c r="C4" s="9">
        <v>61</v>
      </c>
      <c r="D4" s="10">
        <v>62</v>
      </c>
      <c r="E4" s="7">
        <v>62</v>
      </c>
      <c r="F4" s="7">
        <v>62</v>
      </c>
      <c r="G4" s="7">
        <v>61</v>
      </c>
      <c r="H4" s="7">
        <v>60</v>
      </c>
      <c r="I4" s="7">
        <v>60</v>
      </c>
      <c r="L4" s="75"/>
      <c r="M4" s="9" t="s">
        <v>2</v>
      </c>
      <c r="N4" s="19">
        <v>60.432031342337616</v>
      </c>
      <c r="O4" s="10">
        <v>60.831708673106355</v>
      </c>
      <c r="P4" s="10">
        <v>61.334422998033681</v>
      </c>
      <c r="Q4" s="10">
        <v>61.135956954696944</v>
      </c>
      <c r="R4" s="10">
        <v>59.479217720159809</v>
      </c>
      <c r="S4" s="10">
        <v>58.332332448618352</v>
      </c>
      <c r="T4" s="10">
        <v>57.732080691579846</v>
      </c>
      <c r="X4" s="45"/>
      <c r="Y4" s="1"/>
      <c r="Z4" s="1"/>
      <c r="AA4" s="1"/>
      <c r="AB4" s="1"/>
    </row>
    <row r="5" spans="1:28" x14ac:dyDescent="0.3">
      <c r="A5" s="75"/>
      <c r="B5" s="9" t="s">
        <v>3</v>
      </c>
      <c r="C5" s="9">
        <v>63</v>
      </c>
      <c r="D5" s="7">
        <v>64</v>
      </c>
      <c r="E5" s="7">
        <v>65</v>
      </c>
      <c r="F5" s="7">
        <v>66</v>
      </c>
      <c r="G5" s="7">
        <v>66</v>
      </c>
      <c r="H5" s="7">
        <v>66</v>
      </c>
      <c r="I5" s="7">
        <v>66</v>
      </c>
      <c r="L5" s="75"/>
      <c r="M5" s="9" t="s">
        <v>3</v>
      </c>
      <c r="N5" s="19">
        <v>62.238568295546919</v>
      </c>
      <c r="O5" s="10">
        <v>63.07096615096598</v>
      </c>
      <c r="P5" s="10">
        <v>63.979261171043419</v>
      </c>
      <c r="Q5" s="10">
        <v>65.336917267971685</v>
      </c>
      <c r="R5" s="10">
        <v>65.521266993572468</v>
      </c>
      <c r="S5" s="10">
        <v>65.252687436860029</v>
      </c>
      <c r="T5" s="10">
        <v>65.33717887269998</v>
      </c>
      <c r="X5" s="3"/>
      <c r="Y5" s="4"/>
      <c r="Z5" s="4"/>
      <c r="AA5" s="4"/>
      <c r="AB5" s="4"/>
    </row>
    <row r="6" spans="1:28" x14ac:dyDescent="0.3">
      <c r="A6" s="75"/>
      <c r="B6" s="9" t="s">
        <v>4</v>
      </c>
      <c r="C6" s="9">
        <v>70</v>
      </c>
      <c r="D6" s="7">
        <v>71</v>
      </c>
      <c r="E6" s="7">
        <v>72</v>
      </c>
      <c r="F6" s="7">
        <v>73</v>
      </c>
      <c r="G6" s="7">
        <v>72</v>
      </c>
      <c r="H6" s="7">
        <v>72</v>
      </c>
      <c r="I6" s="7">
        <v>70</v>
      </c>
      <c r="L6" s="75"/>
      <c r="M6" s="9" t="s">
        <v>4</v>
      </c>
      <c r="N6" s="19">
        <v>70.592023499584243</v>
      </c>
      <c r="O6" s="10">
        <v>70.758561589657532</v>
      </c>
      <c r="P6" s="10">
        <v>71.740554838111578</v>
      </c>
      <c r="Q6" s="10">
        <v>73.077506995186013</v>
      </c>
      <c r="R6" s="10">
        <v>71.752301052363279</v>
      </c>
      <c r="S6" s="10">
        <v>72.052381676820261</v>
      </c>
      <c r="T6" s="10">
        <v>71.022535046831294</v>
      </c>
    </row>
    <row r="7" spans="1:28" x14ac:dyDescent="0.3">
      <c r="A7" s="75"/>
      <c r="B7" s="20" t="s">
        <v>5</v>
      </c>
      <c r="C7" s="20">
        <v>62</v>
      </c>
      <c r="D7" s="18">
        <v>62</v>
      </c>
      <c r="E7" s="18">
        <v>63</v>
      </c>
      <c r="F7" s="18">
        <v>64</v>
      </c>
      <c r="G7" s="18">
        <v>64</v>
      </c>
      <c r="H7" s="18">
        <v>64</v>
      </c>
      <c r="I7" s="18">
        <v>65</v>
      </c>
      <c r="L7" s="75"/>
      <c r="M7" s="20" t="s">
        <v>5</v>
      </c>
      <c r="N7" s="21">
        <v>60.904469220509306</v>
      </c>
      <c r="O7" s="11">
        <v>61.138577822713827</v>
      </c>
      <c r="P7" s="11">
        <v>61.768860467695227</v>
      </c>
      <c r="Q7" s="11">
        <v>62.469976211485836</v>
      </c>
      <c r="R7" s="11">
        <v>62.600736382474096</v>
      </c>
      <c r="S7" s="11">
        <v>62.643205791664414</v>
      </c>
      <c r="T7" s="11">
        <v>62.65784079857147</v>
      </c>
    </row>
    <row r="10" spans="1:28" x14ac:dyDescent="0.3">
      <c r="G10" s="52" t="s">
        <v>36</v>
      </c>
      <c r="H10" s="52"/>
      <c r="I10" s="52"/>
      <c r="J10" s="52"/>
      <c r="K10" s="52"/>
      <c r="L10" s="52"/>
      <c r="M10" s="52"/>
      <c r="N10" s="52"/>
    </row>
    <row r="11" spans="1:28" x14ac:dyDescent="0.3">
      <c r="F11" s="75" t="s">
        <v>35</v>
      </c>
      <c r="G11" s="8" t="s">
        <v>25</v>
      </c>
      <c r="H11" s="8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31</v>
      </c>
      <c r="N11" s="1" t="s">
        <v>32</v>
      </c>
    </row>
    <row r="12" spans="1:28" x14ac:dyDescent="0.3">
      <c r="F12" s="75"/>
      <c r="G12" s="9" t="s">
        <v>2</v>
      </c>
      <c r="H12" s="19">
        <f>C4-N4</f>
        <v>0.56796865766238369</v>
      </c>
      <c r="I12" s="19">
        <f t="shared" ref="I12:N15" si="0">D4-O4</f>
        <v>1.1682913268936446</v>
      </c>
      <c r="J12" s="19">
        <f t="shared" si="0"/>
        <v>0.66557700196631941</v>
      </c>
      <c r="K12" s="19">
        <f t="shared" si="0"/>
        <v>0.86404304530305609</v>
      </c>
      <c r="L12" s="19">
        <f t="shared" si="0"/>
        <v>1.5207822798401907</v>
      </c>
      <c r="M12" s="19">
        <f t="shared" si="0"/>
        <v>1.6676675513816477</v>
      </c>
      <c r="N12" s="19">
        <f t="shared" si="0"/>
        <v>2.2679193084201543</v>
      </c>
    </row>
    <row r="13" spans="1:28" x14ac:dyDescent="0.3">
      <c r="F13" s="75"/>
      <c r="G13" s="9" t="s">
        <v>3</v>
      </c>
      <c r="H13" s="19">
        <f>C5-N5</f>
        <v>0.76143170445308073</v>
      </c>
      <c r="I13" s="19">
        <f t="shared" si="0"/>
        <v>0.92903384903402042</v>
      </c>
      <c r="J13" s="19">
        <f t="shared" si="0"/>
        <v>1.0207388289565813</v>
      </c>
      <c r="K13" s="19">
        <f t="shared" si="0"/>
        <v>0.66308273202831458</v>
      </c>
      <c r="L13" s="19">
        <f t="shared" si="0"/>
        <v>0.47873300642753236</v>
      </c>
      <c r="M13" s="19">
        <f t="shared" si="0"/>
        <v>0.74731256313997108</v>
      </c>
      <c r="N13" s="19">
        <f t="shared" si="0"/>
        <v>0.66282112730002041</v>
      </c>
    </row>
    <row r="14" spans="1:28" x14ac:dyDescent="0.3">
      <c r="F14" s="75"/>
      <c r="G14" s="9" t="s">
        <v>4</v>
      </c>
      <c r="H14" s="19">
        <f>C6-N6</f>
        <v>-0.5920234995842435</v>
      </c>
      <c r="I14" s="19">
        <f t="shared" si="0"/>
        <v>0.24143841034246805</v>
      </c>
      <c r="J14" s="19">
        <f t="shared" si="0"/>
        <v>0.25944516188842215</v>
      </c>
      <c r="K14" s="19">
        <f t="shared" si="0"/>
        <v>-7.7506995186013228E-2</v>
      </c>
      <c r="L14" s="19">
        <f t="shared" si="0"/>
        <v>0.24769894763672085</v>
      </c>
      <c r="M14" s="19">
        <f t="shared" si="0"/>
        <v>-5.2381676820260736E-2</v>
      </c>
      <c r="N14" s="19">
        <f t="shared" si="0"/>
        <v>-1.0225350468312939</v>
      </c>
    </row>
    <row r="15" spans="1:28" x14ac:dyDescent="0.3">
      <c r="F15" s="75"/>
      <c r="G15" s="20" t="s">
        <v>5</v>
      </c>
      <c r="H15" s="21">
        <f>C7-N7</f>
        <v>1.0955307794906943</v>
      </c>
      <c r="I15" s="21">
        <f t="shared" si="0"/>
        <v>0.86142217728617254</v>
      </c>
      <c r="J15" s="21">
        <f t="shared" si="0"/>
        <v>1.2311395323047734</v>
      </c>
      <c r="K15" s="21">
        <f t="shared" si="0"/>
        <v>1.5300237885141641</v>
      </c>
      <c r="L15" s="21">
        <f t="shared" si="0"/>
        <v>1.3992636175259037</v>
      </c>
      <c r="M15" s="21">
        <f t="shared" si="0"/>
        <v>1.3567942083355859</v>
      </c>
      <c r="N15" s="21">
        <f t="shared" si="0"/>
        <v>2.3421592014285295</v>
      </c>
    </row>
    <row r="18" spans="1:22" x14ac:dyDescent="0.3">
      <c r="B18" s="71" t="s">
        <v>22</v>
      </c>
      <c r="C18" s="72"/>
      <c r="D18" s="72"/>
      <c r="E18" s="72"/>
      <c r="F18" s="72"/>
      <c r="G18" s="72"/>
      <c r="H18" s="72"/>
      <c r="I18" s="73"/>
      <c r="L18" s="71" t="s">
        <v>23</v>
      </c>
      <c r="M18" s="72"/>
      <c r="N18" s="72"/>
      <c r="O18" s="72"/>
      <c r="P18" s="72"/>
      <c r="Q18" s="72"/>
      <c r="R18" s="72"/>
      <c r="S18" s="73"/>
    </row>
    <row r="19" spans="1:22" x14ac:dyDescent="0.3">
      <c r="A19" s="75" t="s">
        <v>24</v>
      </c>
      <c r="B19" s="8" t="s">
        <v>25</v>
      </c>
      <c r="C19" s="8" t="s">
        <v>26</v>
      </c>
      <c r="D19" s="1" t="s">
        <v>27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K19" s="75" t="s">
        <v>24</v>
      </c>
      <c r="L19" s="8" t="s">
        <v>25</v>
      </c>
      <c r="M19" s="8" t="s">
        <v>26</v>
      </c>
      <c r="N19" s="1" t="s">
        <v>27</v>
      </c>
      <c r="O19" s="1" t="s">
        <v>28</v>
      </c>
      <c r="P19" s="1" t="s">
        <v>29</v>
      </c>
      <c r="Q19" s="1" t="s">
        <v>30</v>
      </c>
      <c r="R19" s="1" t="s">
        <v>31</v>
      </c>
      <c r="S19" s="1" t="s">
        <v>33</v>
      </c>
    </row>
    <row r="20" spans="1:22" x14ac:dyDescent="0.3">
      <c r="A20" s="75"/>
      <c r="B20" s="9" t="s">
        <v>10</v>
      </c>
      <c r="C20" s="7">
        <v>54</v>
      </c>
      <c r="D20" s="7">
        <v>55</v>
      </c>
      <c r="E20" s="7">
        <v>55</v>
      </c>
      <c r="F20" s="7">
        <v>56</v>
      </c>
      <c r="G20" s="7">
        <v>56</v>
      </c>
      <c r="H20" s="7">
        <v>58</v>
      </c>
      <c r="I20" s="7">
        <v>58</v>
      </c>
      <c r="K20" s="75"/>
      <c r="L20" s="9" t="s">
        <v>10</v>
      </c>
      <c r="M20" s="10">
        <v>52.148147946974333</v>
      </c>
      <c r="N20" s="10">
        <v>53.206186110701552</v>
      </c>
      <c r="O20" s="10">
        <v>53.011097087697152</v>
      </c>
      <c r="P20" s="11">
        <v>54.140735465207491</v>
      </c>
      <c r="Q20" s="10">
        <v>54.766549357012259</v>
      </c>
      <c r="R20" s="10">
        <v>56.138446415192689</v>
      </c>
      <c r="S20" s="10">
        <v>55.571139029707354</v>
      </c>
    </row>
    <row r="21" spans="1:22" x14ac:dyDescent="0.3">
      <c r="A21" s="75"/>
      <c r="B21" s="9" t="s">
        <v>11</v>
      </c>
      <c r="C21" s="7">
        <v>54</v>
      </c>
      <c r="D21" s="7">
        <v>55</v>
      </c>
      <c r="E21" s="7">
        <v>56</v>
      </c>
      <c r="F21" s="7">
        <v>58</v>
      </c>
      <c r="G21" s="7">
        <v>57</v>
      </c>
      <c r="H21" s="7">
        <v>58</v>
      </c>
      <c r="I21" s="7">
        <v>58</v>
      </c>
      <c r="K21" s="75"/>
      <c r="L21" s="9" t="s">
        <v>11</v>
      </c>
      <c r="M21" s="10">
        <v>52.09465409435839</v>
      </c>
      <c r="N21" s="10">
        <v>53.590645199124211</v>
      </c>
      <c r="O21" s="11">
        <v>54.73685847638658</v>
      </c>
      <c r="P21" s="10">
        <v>56.012534640363214</v>
      </c>
      <c r="Q21" s="10">
        <v>55.438674416909187</v>
      </c>
      <c r="R21" s="10">
        <v>56.359740924774925</v>
      </c>
      <c r="S21" s="10">
        <v>57.387030063293501</v>
      </c>
    </row>
    <row r="22" spans="1:22" x14ac:dyDescent="0.3">
      <c r="A22" s="75"/>
      <c r="B22" s="9" t="s">
        <v>2</v>
      </c>
      <c r="C22" s="7">
        <v>60</v>
      </c>
      <c r="D22" s="10">
        <v>60</v>
      </c>
      <c r="E22" s="7">
        <v>61</v>
      </c>
      <c r="F22" s="7">
        <v>62</v>
      </c>
      <c r="G22" s="7">
        <v>62</v>
      </c>
      <c r="H22" s="7">
        <v>63</v>
      </c>
      <c r="I22" s="7">
        <v>63</v>
      </c>
      <c r="K22" s="75"/>
      <c r="L22" s="9" t="s">
        <v>2</v>
      </c>
      <c r="M22" s="10">
        <v>58.553919417992702</v>
      </c>
      <c r="N22" s="10">
        <v>59.046703891052097</v>
      </c>
      <c r="O22" s="10">
        <v>60.05217088810415</v>
      </c>
      <c r="P22" s="10">
        <v>60.794366262031801</v>
      </c>
      <c r="Q22" s="10">
        <v>60.785329059496355</v>
      </c>
      <c r="R22" s="10">
        <v>62.268420036049235</v>
      </c>
      <c r="S22" s="10">
        <v>62.272387148735</v>
      </c>
    </row>
    <row r="23" spans="1:22" x14ac:dyDescent="0.3">
      <c r="A23" s="75"/>
      <c r="B23" s="9" t="s">
        <v>5</v>
      </c>
      <c r="C23" s="7">
        <v>56</v>
      </c>
      <c r="D23" s="7">
        <v>57</v>
      </c>
      <c r="E23" s="7">
        <v>58</v>
      </c>
      <c r="F23" s="7">
        <v>59</v>
      </c>
      <c r="G23" s="7">
        <v>59</v>
      </c>
      <c r="H23" s="7">
        <v>60</v>
      </c>
      <c r="I23" s="7">
        <v>60</v>
      </c>
      <c r="K23" s="75"/>
      <c r="L23" s="9" t="s">
        <v>5</v>
      </c>
      <c r="M23" s="10">
        <v>54</v>
      </c>
      <c r="N23" s="10">
        <v>55.477688732835624</v>
      </c>
      <c r="O23" s="10">
        <v>56.343775136757003</v>
      </c>
      <c r="P23" s="10">
        <v>57.23097374360205</v>
      </c>
      <c r="Q23" s="10">
        <v>56.533733343473536</v>
      </c>
      <c r="R23" s="10">
        <v>58.448576733703561</v>
      </c>
      <c r="S23" s="10">
        <v>58</v>
      </c>
    </row>
    <row r="26" spans="1:22" x14ac:dyDescent="0.3">
      <c r="F26" s="71" t="s">
        <v>34</v>
      </c>
      <c r="G26" s="72"/>
      <c r="H26" s="72"/>
      <c r="I26" s="72"/>
      <c r="J26" s="72"/>
      <c r="K26" s="72"/>
      <c r="L26" s="72"/>
      <c r="M26" s="73"/>
      <c r="P26" s="74"/>
      <c r="Q26" s="74"/>
      <c r="R26" s="74"/>
      <c r="S26" s="74"/>
      <c r="T26" s="74"/>
      <c r="U26" s="74"/>
      <c r="V26" s="74"/>
    </row>
    <row r="27" spans="1:22" x14ac:dyDescent="0.3">
      <c r="E27" s="75" t="s">
        <v>24</v>
      </c>
      <c r="F27" s="8" t="s">
        <v>25</v>
      </c>
      <c r="G27" s="8" t="s">
        <v>26</v>
      </c>
      <c r="H27" s="1" t="s">
        <v>27</v>
      </c>
      <c r="I27" s="1" t="s">
        <v>28</v>
      </c>
      <c r="J27" s="1" t="s">
        <v>29</v>
      </c>
      <c r="K27" s="1" t="s">
        <v>30</v>
      </c>
      <c r="L27" s="1" t="s">
        <v>31</v>
      </c>
      <c r="M27" s="1" t="s">
        <v>33</v>
      </c>
      <c r="P27" s="13"/>
      <c r="Q27" s="13"/>
      <c r="R27" s="14"/>
      <c r="S27" s="14"/>
      <c r="T27" s="14"/>
      <c r="U27" s="14"/>
      <c r="V27" s="14"/>
    </row>
    <row r="28" spans="1:22" x14ac:dyDescent="0.3">
      <c r="E28" s="75"/>
      <c r="F28" s="9" t="s">
        <v>10</v>
      </c>
      <c r="G28" s="10">
        <f t="shared" ref="G28:M31" si="1">C20-M20</f>
        <v>1.8518520530256666</v>
      </c>
      <c r="H28" s="10">
        <f t="shared" si="1"/>
        <v>1.7938138892984483</v>
      </c>
      <c r="I28" s="10">
        <f t="shared" si="1"/>
        <v>1.9889029123028479</v>
      </c>
      <c r="J28" s="10">
        <f t="shared" si="1"/>
        <v>1.8592645347925085</v>
      </c>
      <c r="K28" s="10">
        <f t="shared" si="1"/>
        <v>1.2334506429877408</v>
      </c>
      <c r="L28" s="10">
        <f t="shared" si="1"/>
        <v>1.8615535848073108</v>
      </c>
      <c r="M28" s="10">
        <f t="shared" si="1"/>
        <v>2.4288609702926465</v>
      </c>
      <c r="P28" s="15"/>
      <c r="Q28" s="16"/>
      <c r="R28" s="16"/>
      <c r="S28" s="16"/>
      <c r="T28" s="16"/>
      <c r="U28" s="16"/>
      <c r="V28" s="16"/>
    </row>
    <row r="29" spans="1:22" x14ac:dyDescent="0.3">
      <c r="E29" s="75"/>
      <c r="F29" s="9" t="s">
        <v>11</v>
      </c>
      <c r="G29" s="10">
        <f t="shared" si="1"/>
        <v>1.9053459056416102</v>
      </c>
      <c r="H29" s="10">
        <f t="shared" si="1"/>
        <v>1.4093548008757892</v>
      </c>
      <c r="I29" s="10">
        <f t="shared" si="1"/>
        <v>1.2631415236134202</v>
      </c>
      <c r="J29" s="10">
        <f t="shared" si="1"/>
        <v>1.9874653596367864</v>
      </c>
      <c r="K29" s="10">
        <f t="shared" si="1"/>
        <v>1.561325583090813</v>
      </c>
      <c r="L29" s="10">
        <f t="shared" si="1"/>
        <v>1.6402590752250745</v>
      </c>
      <c r="M29" s="10">
        <f t="shared" si="1"/>
        <v>0.61296993670649869</v>
      </c>
      <c r="P29" s="15"/>
      <c r="Q29" s="16"/>
      <c r="R29" s="16"/>
      <c r="S29" s="16"/>
      <c r="T29" s="16"/>
      <c r="U29" s="16"/>
      <c r="V29" s="16"/>
    </row>
    <row r="30" spans="1:22" x14ac:dyDescent="0.3">
      <c r="E30" s="75"/>
      <c r="F30" s="9" t="s">
        <v>2</v>
      </c>
      <c r="G30" s="10">
        <f t="shared" si="1"/>
        <v>1.4460805820072977</v>
      </c>
      <c r="H30" s="10">
        <f t="shared" si="1"/>
        <v>0.95329610894790306</v>
      </c>
      <c r="I30" s="10">
        <f t="shared" si="1"/>
        <v>0.94782911189584951</v>
      </c>
      <c r="J30" s="10">
        <f t="shared" si="1"/>
        <v>1.2056337379681992</v>
      </c>
      <c r="K30" s="10">
        <f t="shared" si="1"/>
        <v>1.2146709405036447</v>
      </c>
      <c r="L30" s="10">
        <f t="shared" si="1"/>
        <v>0.73157996395076452</v>
      </c>
      <c r="M30" s="10">
        <f t="shared" si="1"/>
        <v>0.72761285126500042</v>
      </c>
      <c r="P30" s="15"/>
      <c r="Q30" s="16"/>
      <c r="R30" s="17"/>
      <c r="S30" s="16"/>
      <c r="T30" s="16"/>
      <c r="U30" s="16"/>
      <c r="V30" s="16"/>
    </row>
    <row r="31" spans="1:22" x14ac:dyDescent="0.3">
      <c r="E31" s="75"/>
      <c r="F31" s="9" t="s">
        <v>5</v>
      </c>
      <c r="G31" s="10">
        <f t="shared" si="1"/>
        <v>2</v>
      </c>
      <c r="H31" s="10">
        <f t="shared" si="1"/>
        <v>1.5223112671643761</v>
      </c>
      <c r="I31" s="10">
        <f t="shared" si="1"/>
        <v>1.656224863242997</v>
      </c>
      <c r="J31" s="10">
        <f t="shared" si="1"/>
        <v>1.7690262563979502</v>
      </c>
      <c r="K31" s="10">
        <f t="shared" si="1"/>
        <v>2.4662666565264644</v>
      </c>
      <c r="L31" s="10">
        <f t="shared" si="1"/>
        <v>1.5514232662964389</v>
      </c>
      <c r="M31" s="10">
        <f t="shared" si="1"/>
        <v>2</v>
      </c>
      <c r="P31" s="15"/>
      <c r="Q31" s="16"/>
      <c r="R31" s="16"/>
      <c r="S31" s="16"/>
      <c r="T31" s="16"/>
      <c r="U31" s="16"/>
      <c r="V31" s="16"/>
    </row>
  </sheetData>
  <mergeCells count="16">
    <mergeCell ref="X2:AB2"/>
    <mergeCell ref="B18:I18"/>
    <mergeCell ref="L18:S18"/>
    <mergeCell ref="A19:A23"/>
    <mergeCell ref="K19:K23"/>
    <mergeCell ref="F11:F15"/>
    <mergeCell ref="A3:A7"/>
    <mergeCell ref="X3:X4"/>
    <mergeCell ref="Y3:AB3"/>
    <mergeCell ref="F26:M26"/>
    <mergeCell ref="P26:V26"/>
    <mergeCell ref="E27:E31"/>
    <mergeCell ref="B2:I2"/>
    <mergeCell ref="M2:T2"/>
    <mergeCell ref="L3:L7"/>
    <mergeCell ref="G10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4911-C029-4494-A263-E5734467D538}">
  <dimension ref="B1:AC32"/>
  <sheetViews>
    <sheetView workbookViewId="0">
      <selection activeCell="V23" sqref="V23"/>
    </sheetView>
  </sheetViews>
  <sheetFormatPr defaultRowHeight="14.4" x14ac:dyDescent="0.3"/>
  <sheetData>
    <row r="1" spans="2:29" x14ac:dyDescent="0.3">
      <c r="Y1" s="44"/>
      <c r="Z1" s="39"/>
      <c r="AA1" s="40"/>
      <c r="AB1" s="40"/>
      <c r="AC1" s="41"/>
    </row>
    <row r="2" spans="2:29" x14ac:dyDescent="0.3">
      <c r="C2" s="52" t="s">
        <v>37</v>
      </c>
      <c r="D2" s="52"/>
      <c r="E2" s="52"/>
      <c r="F2" s="52"/>
      <c r="G2" s="52"/>
      <c r="H2" s="52"/>
      <c r="I2" s="52"/>
      <c r="J2" s="52"/>
      <c r="N2" s="52" t="s">
        <v>38</v>
      </c>
      <c r="O2" s="52"/>
      <c r="P2" s="52"/>
      <c r="Q2" s="52"/>
      <c r="R2" s="52"/>
      <c r="S2" s="52"/>
      <c r="T2" s="52"/>
      <c r="U2" s="52"/>
      <c r="Y2" s="45"/>
      <c r="Z2" s="1"/>
      <c r="AA2" s="1"/>
      <c r="AB2" s="1"/>
      <c r="AC2" s="2"/>
    </row>
    <row r="3" spans="2:29" x14ac:dyDescent="0.3">
      <c r="B3" s="75" t="s">
        <v>35</v>
      </c>
      <c r="C3" s="8" t="s">
        <v>25</v>
      </c>
      <c r="D3" s="8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M3" s="75" t="s">
        <v>35</v>
      </c>
      <c r="N3" s="8" t="s">
        <v>25</v>
      </c>
      <c r="O3" s="8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Y3" s="3"/>
      <c r="Z3" s="5"/>
      <c r="AA3" s="4"/>
      <c r="AB3" s="4"/>
      <c r="AC3" s="4"/>
    </row>
    <row r="4" spans="2:29" x14ac:dyDescent="0.3">
      <c r="B4" s="75"/>
      <c r="C4" s="9" t="s">
        <v>2</v>
      </c>
      <c r="D4" s="9">
        <v>61</v>
      </c>
      <c r="E4" s="10">
        <v>60</v>
      </c>
      <c r="F4" s="7">
        <v>61</v>
      </c>
      <c r="G4" s="7">
        <v>59</v>
      </c>
      <c r="H4" s="7">
        <v>58</v>
      </c>
      <c r="I4" s="7">
        <v>58</v>
      </c>
      <c r="J4" s="7">
        <v>57</v>
      </c>
      <c r="M4" s="75"/>
      <c r="N4" s="9" t="s">
        <v>2</v>
      </c>
      <c r="O4" s="19">
        <v>60.432031342337616</v>
      </c>
      <c r="P4" s="10">
        <v>60.831708673106355</v>
      </c>
      <c r="Q4" s="10">
        <v>61.334422998033681</v>
      </c>
      <c r="R4" s="10">
        <v>61.135956954696944</v>
      </c>
      <c r="S4" s="10">
        <v>59.479217720159809</v>
      </c>
      <c r="T4" s="10">
        <v>58.332332448618352</v>
      </c>
      <c r="U4" s="10">
        <v>57</v>
      </c>
    </row>
    <row r="5" spans="2:29" x14ac:dyDescent="0.3">
      <c r="B5" s="75"/>
      <c r="C5" s="9" t="s">
        <v>3</v>
      </c>
      <c r="D5" s="9">
        <v>64</v>
      </c>
      <c r="E5" s="7">
        <v>65</v>
      </c>
      <c r="F5" s="7">
        <v>66</v>
      </c>
      <c r="G5" s="7">
        <v>66</v>
      </c>
      <c r="H5" s="7">
        <v>66</v>
      </c>
      <c r="I5" s="7">
        <v>67</v>
      </c>
      <c r="J5" s="7">
        <v>67</v>
      </c>
      <c r="M5" s="75"/>
      <c r="N5" s="9" t="s">
        <v>3</v>
      </c>
      <c r="O5" s="19">
        <v>62.238568295546919</v>
      </c>
      <c r="P5" s="10">
        <v>63.07096615096598</v>
      </c>
      <c r="Q5" s="10">
        <v>63.979261171043419</v>
      </c>
      <c r="R5" s="10">
        <v>65.336917267971685</v>
      </c>
      <c r="S5" s="10">
        <v>65.521266993572468</v>
      </c>
      <c r="T5" s="10">
        <v>65.252687436860029</v>
      </c>
      <c r="U5" s="10">
        <v>67</v>
      </c>
    </row>
    <row r="6" spans="2:29" x14ac:dyDescent="0.3">
      <c r="B6" s="75"/>
      <c r="C6" s="9" t="s">
        <v>4</v>
      </c>
      <c r="D6" s="9">
        <v>72</v>
      </c>
      <c r="E6" s="7">
        <v>72</v>
      </c>
      <c r="F6" s="7">
        <v>73</v>
      </c>
      <c r="G6" s="7">
        <v>73</v>
      </c>
      <c r="H6" s="7">
        <v>73</v>
      </c>
      <c r="I6" s="7">
        <v>72</v>
      </c>
      <c r="J6" s="7">
        <v>73</v>
      </c>
      <c r="M6" s="75"/>
      <c r="N6" s="9" t="s">
        <v>4</v>
      </c>
      <c r="O6" s="19">
        <v>70.592023499584243</v>
      </c>
      <c r="P6" s="10">
        <v>70.758561589657532</v>
      </c>
      <c r="Q6" s="10">
        <v>71.740554838111578</v>
      </c>
      <c r="R6" s="10">
        <v>73.077506995186013</v>
      </c>
      <c r="S6" s="10">
        <v>71.752301052363279</v>
      </c>
      <c r="T6" s="10">
        <v>72.052381676820261</v>
      </c>
      <c r="U6" s="10">
        <v>73</v>
      </c>
    </row>
    <row r="7" spans="2:29" x14ac:dyDescent="0.3">
      <c r="B7" s="75"/>
      <c r="C7" s="20" t="s">
        <v>5</v>
      </c>
      <c r="D7" s="20">
        <v>63</v>
      </c>
      <c r="E7" s="18">
        <v>63</v>
      </c>
      <c r="F7" s="18">
        <v>64</v>
      </c>
      <c r="G7" s="18">
        <v>64</v>
      </c>
      <c r="H7" s="18">
        <v>64</v>
      </c>
      <c r="I7" s="18">
        <v>64</v>
      </c>
      <c r="J7" s="18">
        <v>65</v>
      </c>
      <c r="M7" s="75"/>
      <c r="N7" s="20" t="s">
        <v>5</v>
      </c>
      <c r="O7" s="21">
        <v>60.904469220509306</v>
      </c>
      <c r="P7" s="11">
        <v>61.138577822713827</v>
      </c>
      <c r="Q7" s="11">
        <v>61.768860467695227</v>
      </c>
      <c r="R7" s="11">
        <v>62.469976211485836</v>
      </c>
      <c r="S7" s="11">
        <v>62.600736382474096</v>
      </c>
      <c r="T7" s="11">
        <v>62.643205791664414</v>
      </c>
      <c r="U7" s="11">
        <v>65</v>
      </c>
    </row>
    <row r="10" spans="2:29" x14ac:dyDescent="0.3">
      <c r="H10" s="71" t="s">
        <v>39</v>
      </c>
      <c r="I10" s="72"/>
      <c r="J10" s="72"/>
      <c r="K10" s="72"/>
      <c r="L10" s="72"/>
      <c r="M10" s="72"/>
      <c r="N10" s="72"/>
      <c r="O10" s="73"/>
    </row>
    <row r="11" spans="2:29" x14ac:dyDescent="0.3">
      <c r="G11" s="75" t="s">
        <v>35</v>
      </c>
      <c r="H11" s="8" t="s">
        <v>25</v>
      </c>
      <c r="I11" s="8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33</v>
      </c>
    </row>
    <row r="12" spans="2:29" x14ac:dyDescent="0.3">
      <c r="G12" s="75"/>
      <c r="H12" s="9" t="s">
        <v>2</v>
      </c>
      <c r="I12" s="10">
        <f>D4-O4</f>
        <v>0.56796865766238369</v>
      </c>
      <c r="J12" s="10">
        <f t="shared" ref="I12:O15" si="0">E4-P4</f>
        <v>-0.83170867310635543</v>
      </c>
      <c r="K12" s="10">
        <f t="shared" si="0"/>
        <v>-0.33442299803368059</v>
      </c>
      <c r="L12" s="10">
        <f t="shared" si="0"/>
        <v>-2.1359569546969439</v>
      </c>
      <c r="M12" s="10">
        <f t="shared" si="0"/>
        <v>-1.4792177201598093</v>
      </c>
      <c r="N12" s="10">
        <f t="shared" si="0"/>
        <v>-0.33233244861835232</v>
      </c>
      <c r="O12" s="10">
        <f t="shared" si="0"/>
        <v>0</v>
      </c>
    </row>
    <row r="13" spans="2:29" x14ac:dyDescent="0.3">
      <c r="G13" s="75"/>
      <c r="H13" s="9" t="s">
        <v>3</v>
      </c>
      <c r="I13" s="10">
        <f t="shared" si="0"/>
        <v>1.7614317044530807</v>
      </c>
      <c r="J13" s="10">
        <f t="shared" si="0"/>
        <v>1.9290338490340204</v>
      </c>
      <c r="K13" s="10">
        <f t="shared" si="0"/>
        <v>2.0207388289565813</v>
      </c>
      <c r="L13" s="10">
        <f t="shared" si="0"/>
        <v>0.66308273202831458</v>
      </c>
      <c r="M13" s="10">
        <f t="shared" si="0"/>
        <v>0.47873300642753236</v>
      </c>
      <c r="N13" s="10">
        <f t="shared" si="0"/>
        <v>1.7473125631399711</v>
      </c>
      <c r="O13" s="10">
        <f t="shared" si="0"/>
        <v>0</v>
      </c>
    </row>
    <row r="14" spans="2:29" x14ac:dyDescent="0.3">
      <c r="G14" s="75"/>
      <c r="H14" s="9" t="s">
        <v>4</v>
      </c>
      <c r="I14" s="10">
        <f t="shared" si="0"/>
        <v>1.4079765004157565</v>
      </c>
      <c r="J14" s="10">
        <f t="shared" si="0"/>
        <v>1.241438410342468</v>
      </c>
      <c r="K14" s="10">
        <f t="shared" si="0"/>
        <v>1.2594451618884221</v>
      </c>
      <c r="L14" s="10">
        <f t="shared" si="0"/>
        <v>-7.7506995186013228E-2</v>
      </c>
      <c r="M14" s="10">
        <f t="shared" si="0"/>
        <v>1.2476989476367208</v>
      </c>
      <c r="N14" s="10">
        <f t="shared" si="0"/>
        <v>-5.2381676820260736E-2</v>
      </c>
      <c r="O14" s="10">
        <f t="shared" si="0"/>
        <v>0</v>
      </c>
      <c r="Y14" s="35"/>
      <c r="Z14" s="35"/>
      <c r="AA14" s="35"/>
      <c r="AB14" s="35"/>
      <c r="AC14" s="35"/>
    </row>
    <row r="15" spans="2:29" x14ac:dyDescent="0.3">
      <c r="G15" s="75"/>
      <c r="H15" s="9" t="s">
        <v>5</v>
      </c>
      <c r="I15" s="10">
        <f t="shared" si="0"/>
        <v>2.0955307794906943</v>
      </c>
      <c r="J15" s="10">
        <f t="shared" si="0"/>
        <v>1.8614221772861725</v>
      </c>
      <c r="K15" s="10">
        <f t="shared" si="0"/>
        <v>2.2311395323047734</v>
      </c>
      <c r="L15" s="10">
        <f t="shared" si="0"/>
        <v>1.5300237885141641</v>
      </c>
      <c r="M15" s="10">
        <f t="shared" si="0"/>
        <v>1.3992636175259037</v>
      </c>
      <c r="N15" s="10">
        <f t="shared" si="0"/>
        <v>1.3567942083355859</v>
      </c>
      <c r="O15" s="10">
        <f t="shared" si="0"/>
        <v>0</v>
      </c>
      <c r="Y15" s="44"/>
      <c r="Z15" s="39"/>
      <c r="AA15" s="40"/>
      <c r="AB15" s="40"/>
      <c r="AC15" s="41"/>
    </row>
    <row r="16" spans="2:29" x14ac:dyDescent="0.3">
      <c r="Y16" s="45"/>
      <c r="Z16" s="1"/>
      <c r="AA16" s="1"/>
      <c r="AB16" s="1"/>
      <c r="AC16" s="1"/>
    </row>
    <row r="17" spans="2:29" x14ac:dyDescent="0.3">
      <c r="Y17" s="3"/>
      <c r="Z17" s="4"/>
      <c r="AA17" s="4"/>
      <c r="AB17" s="4"/>
      <c r="AC17" s="4"/>
    </row>
    <row r="19" spans="2:29" ht="14.4" customHeight="1" x14ac:dyDescent="0.3">
      <c r="C19" s="60" t="s">
        <v>22</v>
      </c>
      <c r="D19" s="60"/>
      <c r="E19" s="60"/>
      <c r="F19" s="60"/>
      <c r="G19" s="60"/>
      <c r="H19" s="60"/>
      <c r="I19" s="60"/>
      <c r="J19" s="60"/>
      <c r="O19" s="60" t="s">
        <v>23</v>
      </c>
      <c r="P19" s="60"/>
      <c r="Q19" s="60"/>
      <c r="R19" s="60"/>
      <c r="S19" s="60"/>
      <c r="T19" s="60"/>
      <c r="U19" s="60"/>
      <c r="V19" s="60"/>
    </row>
    <row r="20" spans="2:29" x14ac:dyDescent="0.3">
      <c r="B20" s="75" t="s">
        <v>24</v>
      </c>
      <c r="C20" s="8" t="s">
        <v>25</v>
      </c>
      <c r="D20" s="8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33</v>
      </c>
      <c r="N20" s="75" t="s">
        <v>24</v>
      </c>
      <c r="O20" s="8" t="s">
        <v>25</v>
      </c>
      <c r="P20" s="8" t="s">
        <v>26</v>
      </c>
      <c r="Q20" s="1" t="s">
        <v>27</v>
      </c>
      <c r="R20" s="1" t="s">
        <v>28</v>
      </c>
      <c r="S20" s="1" t="s">
        <v>29</v>
      </c>
      <c r="T20" s="1" t="s">
        <v>30</v>
      </c>
      <c r="U20" s="1" t="s">
        <v>31</v>
      </c>
      <c r="V20" s="1" t="s">
        <v>33</v>
      </c>
    </row>
    <row r="21" spans="2:29" x14ac:dyDescent="0.3">
      <c r="B21" s="75"/>
      <c r="C21" s="9" t="s">
        <v>10</v>
      </c>
      <c r="D21" s="7">
        <v>56</v>
      </c>
      <c r="E21" s="7">
        <v>56</v>
      </c>
      <c r="F21" s="7">
        <v>57</v>
      </c>
      <c r="G21" s="7">
        <v>56</v>
      </c>
      <c r="H21" s="7">
        <v>56</v>
      </c>
      <c r="I21" s="7">
        <v>59</v>
      </c>
      <c r="J21" s="7">
        <v>60</v>
      </c>
      <c r="N21" s="75"/>
      <c r="O21" s="9" t="s">
        <v>10</v>
      </c>
      <c r="P21" s="10">
        <v>53.893779682417978</v>
      </c>
      <c r="Q21" s="22">
        <v>54.234195461099688</v>
      </c>
      <c r="R21" s="22">
        <v>54.656010500782457</v>
      </c>
      <c r="S21" s="10">
        <v>54.579966907500371</v>
      </c>
      <c r="T21" s="10">
        <v>54.206674968415427</v>
      </c>
      <c r="U21" s="10">
        <v>56.749208110508548</v>
      </c>
      <c r="V21" s="10">
        <v>58.118420450290202</v>
      </c>
    </row>
    <row r="22" spans="2:29" x14ac:dyDescent="0.3">
      <c r="B22" s="75"/>
      <c r="C22" s="9" t="s">
        <v>11</v>
      </c>
      <c r="D22" s="7">
        <v>55</v>
      </c>
      <c r="E22" s="7">
        <v>54</v>
      </c>
      <c r="F22" s="7">
        <v>56</v>
      </c>
      <c r="G22" s="7">
        <v>56</v>
      </c>
      <c r="H22" s="7">
        <v>55</v>
      </c>
      <c r="I22" s="7">
        <v>58</v>
      </c>
      <c r="J22" s="7">
        <v>58</v>
      </c>
      <c r="N22" s="75"/>
      <c r="O22" s="9" t="s">
        <v>11</v>
      </c>
      <c r="P22" s="10">
        <v>52.764586424199187</v>
      </c>
      <c r="Q22" s="10">
        <v>52.668155786614911</v>
      </c>
      <c r="R22" s="10">
        <v>53.842718761534172</v>
      </c>
      <c r="S22" s="10">
        <v>54.300438657410581</v>
      </c>
      <c r="T22" s="10">
        <v>53.653189295061068</v>
      </c>
      <c r="U22" s="10">
        <v>55.968304135092545</v>
      </c>
      <c r="V22" s="10">
        <v>57.387030063293501</v>
      </c>
    </row>
    <row r="23" spans="2:29" x14ac:dyDescent="0.3">
      <c r="B23" s="75"/>
      <c r="C23" s="9" t="s">
        <v>2</v>
      </c>
      <c r="D23" s="7">
        <v>60</v>
      </c>
      <c r="E23" s="10">
        <v>61</v>
      </c>
      <c r="F23" s="7">
        <v>60</v>
      </c>
      <c r="G23" s="7">
        <v>61</v>
      </c>
      <c r="H23" s="7">
        <v>61</v>
      </c>
      <c r="I23" s="7">
        <v>61</v>
      </c>
      <c r="J23" s="7">
        <v>61</v>
      </c>
      <c r="N23" s="75"/>
      <c r="O23" s="9" t="s">
        <v>2</v>
      </c>
      <c r="P23" s="10">
        <v>58.553919417992702</v>
      </c>
      <c r="Q23" s="10">
        <v>59.674406191143234</v>
      </c>
      <c r="R23" s="10">
        <v>59.161148946333014</v>
      </c>
      <c r="S23" s="10">
        <v>60.312377066784805</v>
      </c>
      <c r="T23" s="10">
        <v>59</v>
      </c>
      <c r="U23" s="10">
        <v>60.022509024418298</v>
      </c>
      <c r="V23" s="10">
        <v>59.688620148032797</v>
      </c>
    </row>
    <row r="24" spans="2:29" x14ac:dyDescent="0.3">
      <c r="B24" s="75"/>
      <c r="C24" s="9" t="s">
        <v>5</v>
      </c>
      <c r="D24" s="7">
        <v>58</v>
      </c>
      <c r="E24" s="7">
        <v>59</v>
      </c>
      <c r="F24" s="7">
        <v>59</v>
      </c>
      <c r="G24" s="7">
        <v>59</v>
      </c>
      <c r="H24" s="7">
        <v>59</v>
      </c>
      <c r="I24" s="7">
        <v>60</v>
      </c>
      <c r="J24" s="7">
        <v>61</v>
      </c>
      <c r="N24" s="75"/>
      <c r="O24" s="9" t="s">
        <v>5</v>
      </c>
      <c r="P24" s="10">
        <v>56.243156484435261</v>
      </c>
      <c r="Q24" s="10">
        <v>56.459233753221326</v>
      </c>
      <c r="R24" s="10">
        <v>56.74405629845603</v>
      </c>
      <c r="S24" s="10">
        <v>57.23097374360205</v>
      </c>
      <c r="T24" s="10">
        <v>56.533733343473536</v>
      </c>
      <c r="U24" s="10">
        <v>58.448576733703561</v>
      </c>
      <c r="V24" s="10">
        <v>59.630788370157497</v>
      </c>
    </row>
    <row r="27" spans="2:29" x14ac:dyDescent="0.3">
      <c r="H27" s="60" t="s">
        <v>40</v>
      </c>
      <c r="I27" s="60"/>
      <c r="J27" s="60"/>
      <c r="K27" s="60"/>
      <c r="L27" s="60"/>
      <c r="M27" s="60"/>
      <c r="N27" s="60"/>
      <c r="O27" s="60"/>
    </row>
    <row r="28" spans="2:29" x14ac:dyDescent="0.3">
      <c r="G28" s="75" t="s">
        <v>24</v>
      </c>
      <c r="H28" s="8" t="s">
        <v>25</v>
      </c>
      <c r="I28" s="8" t="s">
        <v>26</v>
      </c>
      <c r="J28" s="1" t="s">
        <v>27</v>
      </c>
      <c r="K28" s="1" t="s">
        <v>28</v>
      </c>
      <c r="L28" s="1" t="s">
        <v>29</v>
      </c>
      <c r="M28" s="1" t="s">
        <v>30</v>
      </c>
      <c r="N28" s="1" t="s">
        <v>31</v>
      </c>
      <c r="O28" s="1" t="s">
        <v>33</v>
      </c>
    </row>
    <row r="29" spans="2:29" x14ac:dyDescent="0.3">
      <c r="G29" s="75"/>
      <c r="H29" s="9" t="s">
        <v>10</v>
      </c>
      <c r="I29" s="10">
        <f>D21-P21</f>
        <v>2.1062203175820216</v>
      </c>
      <c r="J29" s="10">
        <f t="shared" ref="J29:O32" si="1">E21-Q21</f>
        <v>1.7658045389003121</v>
      </c>
      <c r="K29" s="10">
        <f t="shared" si="1"/>
        <v>2.3439894992175425</v>
      </c>
      <c r="L29" s="10">
        <f t="shared" si="1"/>
        <v>1.4200330924996294</v>
      </c>
      <c r="M29" s="10">
        <f t="shared" si="1"/>
        <v>1.7933250315845726</v>
      </c>
      <c r="N29" s="10">
        <f t="shared" si="1"/>
        <v>2.2507918894914525</v>
      </c>
      <c r="O29" s="10">
        <f t="shared" si="1"/>
        <v>1.881579549709798</v>
      </c>
    </row>
    <row r="30" spans="2:29" x14ac:dyDescent="0.3">
      <c r="G30" s="75"/>
      <c r="H30" s="9" t="s">
        <v>11</v>
      </c>
      <c r="I30" s="10">
        <f>D22-P22</f>
        <v>2.2354135758008127</v>
      </c>
      <c r="J30" s="10">
        <f t="shared" si="1"/>
        <v>1.3318442133850894</v>
      </c>
      <c r="K30" s="10">
        <f t="shared" si="1"/>
        <v>2.1572812384658278</v>
      </c>
      <c r="L30" s="10">
        <f t="shared" si="1"/>
        <v>1.6995613425894192</v>
      </c>
      <c r="M30" s="10">
        <f t="shared" si="1"/>
        <v>1.3468107049389317</v>
      </c>
      <c r="N30" s="10">
        <f t="shared" si="1"/>
        <v>2.031695864907455</v>
      </c>
      <c r="O30" s="10">
        <f t="shared" si="1"/>
        <v>0.61296993670649869</v>
      </c>
    </row>
    <row r="31" spans="2:29" x14ac:dyDescent="0.3">
      <c r="G31" s="75"/>
      <c r="H31" s="9" t="s">
        <v>2</v>
      </c>
      <c r="I31" s="10">
        <f>D23-P23</f>
        <v>1.4460805820072977</v>
      </c>
      <c r="J31" s="10">
        <f t="shared" si="1"/>
        <v>1.325593808856766</v>
      </c>
      <c r="K31" s="10">
        <f t="shared" si="1"/>
        <v>0.83885105366698554</v>
      </c>
      <c r="L31" s="10">
        <f t="shared" si="1"/>
        <v>0.68762293321519508</v>
      </c>
      <c r="M31" s="10">
        <f t="shared" si="1"/>
        <v>2</v>
      </c>
      <c r="N31" s="10">
        <f t="shared" si="1"/>
        <v>0.97749097558170206</v>
      </c>
      <c r="O31" s="10">
        <f t="shared" si="1"/>
        <v>1.3113798519672031</v>
      </c>
    </row>
    <row r="32" spans="2:29" x14ac:dyDescent="0.3">
      <c r="G32" s="75"/>
      <c r="H32" s="9" t="s">
        <v>5</v>
      </c>
      <c r="I32" s="10">
        <f>D24-P24</f>
        <v>1.7568435155647393</v>
      </c>
      <c r="J32" s="10">
        <f t="shared" si="1"/>
        <v>2.5407662467786736</v>
      </c>
      <c r="K32" s="10">
        <f t="shared" si="1"/>
        <v>2.2559437015439698</v>
      </c>
      <c r="L32" s="10">
        <f t="shared" si="1"/>
        <v>1.7690262563979502</v>
      </c>
      <c r="M32" s="10">
        <f t="shared" si="1"/>
        <v>2.4662666565264644</v>
      </c>
      <c r="N32" s="10">
        <f t="shared" si="1"/>
        <v>1.5514232662964389</v>
      </c>
      <c r="O32" s="10">
        <f t="shared" si="1"/>
        <v>1.3692116298425034</v>
      </c>
    </row>
  </sheetData>
  <mergeCells count="17">
    <mergeCell ref="Y1:Y2"/>
    <mergeCell ref="Z1:AC1"/>
    <mergeCell ref="C2:J2"/>
    <mergeCell ref="N2:U2"/>
    <mergeCell ref="B3:B7"/>
    <mergeCell ref="M3:M7"/>
    <mergeCell ref="Y14:AC14"/>
    <mergeCell ref="Y15:Y16"/>
    <mergeCell ref="Z15:AC15"/>
    <mergeCell ref="C19:J19"/>
    <mergeCell ref="O19:V19"/>
    <mergeCell ref="B20:B24"/>
    <mergeCell ref="N20:N24"/>
    <mergeCell ref="H27:O27"/>
    <mergeCell ref="G28:G32"/>
    <mergeCell ref="H10:O10"/>
    <mergeCell ref="G11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7EBA-DF24-46C4-B28D-3B88E6F7A7FD}">
  <dimension ref="A3:Y29"/>
  <sheetViews>
    <sheetView workbookViewId="0">
      <selection activeCell="R5" sqref="R5"/>
    </sheetView>
  </sheetViews>
  <sheetFormatPr defaultRowHeight="14.4" x14ac:dyDescent="0.3"/>
  <cols>
    <col min="21" max="21" width="14.109375" bestFit="1" customWidth="1"/>
  </cols>
  <sheetData>
    <row r="3" spans="1:25" x14ac:dyDescent="0.3">
      <c r="B3" s="52" t="s">
        <v>45</v>
      </c>
      <c r="C3" s="52"/>
      <c r="D3" s="52"/>
      <c r="E3" s="52"/>
      <c r="F3" s="52"/>
      <c r="G3" s="52"/>
      <c r="H3" s="52"/>
      <c r="L3" s="52" t="s">
        <v>46</v>
      </c>
      <c r="M3" s="52"/>
      <c r="N3" s="52"/>
      <c r="O3" s="52"/>
      <c r="P3" s="52"/>
      <c r="Q3" s="52"/>
      <c r="R3" s="52"/>
    </row>
    <row r="4" spans="1:25" x14ac:dyDescent="0.3">
      <c r="A4" s="75" t="s">
        <v>35</v>
      </c>
      <c r="B4" s="8" t="s">
        <v>25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47</v>
      </c>
      <c r="K4" s="75" t="s">
        <v>35</v>
      </c>
      <c r="L4" s="8" t="s">
        <v>25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47</v>
      </c>
    </row>
    <row r="5" spans="1:25" x14ac:dyDescent="0.3">
      <c r="A5" s="75"/>
      <c r="B5" s="9" t="s">
        <v>2</v>
      </c>
      <c r="C5" s="10">
        <v>61</v>
      </c>
      <c r="D5" s="7">
        <v>58</v>
      </c>
      <c r="E5" s="7">
        <v>57</v>
      </c>
      <c r="F5" s="7">
        <v>56</v>
      </c>
      <c r="G5" s="7">
        <v>57</v>
      </c>
      <c r="H5" s="7">
        <v>55</v>
      </c>
      <c r="K5" s="75"/>
      <c r="L5" s="9" t="s">
        <v>2</v>
      </c>
      <c r="M5" s="10">
        <v>59.71919127547357</v>
      </c>
      <c r="N5" s="10">
        <v>54.600867125744223</v>
      </c>
      <c r="O5" s="10">
        <v>55.252553653210562</v>
      </c>
      <c r="P5" s="10">
        <v>52.587176338889179</v>
      </c>
      <c r="Q5" s="10">
        <v>52.846171753296339</v>
      </c>
      <c r="R5" s="10">
        <v>51.849437035326858</v>
      </c>
      <c r="U5" s="44"/>
      <c r="V5" s="39"/>
      <c r="W5" s="40"/>
      <c r="X5" s="40"/>
      <c r="Y5" s="41"/>
    </row>
    <row r="6" spans="1:25" x14ac:dyDescent="0.3">
      <c r="A6" s="75"/>
      <c r="B6" s="9" t="s">
        <v>3</v>
      </c>
      <c r="C6" s="7">
        <v>60</v>
      </c>
      <c r="D6" s="7">
        <v>57</v>
      </c>
      <c r="E6" s="7">
        <v>64</v>
      </c>
      <c r="F6" s="7">
        <v>59</v>
      </c>
      <c r="G6" s="7">
        <v>60</v>
      </c>
      <c r="H6" s="7">
        <v>62</v>
      </c>
      <c r="K6" s="75"/>
      <c r="L6" s="9" t="s">
        <v>3</v>
      </c>
      <c r="M6" s="10">
        <v>57.988061415533949</v>
      </c>
      <c r="N6" s="10">
        <v>54.366849108736012</v>
      </c>
      <c r="O6" s="10">
        <v>63.585992152647478</v>
      </c>
      <c r="P6" s="10">
        <v>58.327053928067151</v>
      </c>
      <c r="Q6" s="10">
        <v>58.903082999873448</v>
      </c>
      <c r="R6" s="10">
        <v>57.1249686126326</v>
      </c>
      <c r="U6" s="45"/>
      <c r="V6" s="1"/>
      <c r="W6" s="1"/>
      <c r="X6" s="1"/>
      <c r="Y6" s="2"/>
    </row>
    <row r="7" spans="1:25" x14ac:dyDescent="0.3">
      <c r="A7" s="75"/>
      <c r="B7" s="9" t="s">
        <v>4</v>
      </c>
      <c r="C7" s="7">
        <v>67</v>
      </c>
      <c r="D7" s="7">
        <v>71</v>
      </c>
      <c r="E7" s="7">
        <v>73</v>
      </c>
      <c r="F7" s="7">
        <v>69</v>
      </c>
      <c r="G7" s="7">
        <v>69</v>
      </c>
      <c r="H7" s="7">
        <v>71</v>
      </c>
      <c r="K7" s="75"/>
      <c r="L7" s="9" t="s">
        <v>4</v>
      </c>
      <c r="M7" s="10">
        <v>67.108698702135101</v>
      </c>
      <c r="N7" s="10">
        <v>71.483440975416627</v>
      </c>
      <c r="O7" s="10">
        <v>73.18544030843546</v>
      </c>
      <c r="P7" s="10">
        <v>69.216195604847371</v>
      </c>
      <c r="Q7" s="10">
        <v>69.314977938030907</v>
      </c>
      <c r="R7" s="10">
        <v>70.840176870091142</v>
      </c>
      <c r="U7" s="3"/>
      <c r="V7" s="5"/>
      <c r="W7" s="4"/>
      <c r="X7" s="5"/>
      <c r="Y7" s="4"/>
    </row>
    <row r="8" spans="1:25" x14ac:dyDescent="0.3">
      <c r="A8" s="75"/>
      <c r="B8" s="20" t="s">
        <v>5</v>
      </c>
      <c r="C8" s="18">
        <v>62</v>
      </c>
      <c r="D8" s="18">
        <v>60</v>
      </c>
      <c r="E8" s="18">
        <v>60</v>
      </c>
      <c r="F8" s="18">
        <v>60</v>
      </c>
      <c r="G8" s="18">
        <v>61</v>
      </c>
      <c r="H8" s="18">
        <v>62</v>
      </c>
      <c r="K8" s="75"/>
      <c r="L8" s="20" t="s">
        <v>5</v>
      </c>
      <c r="M8" s="11">
        <v>60.501006821529273</v>
      </c>
      <c r="N8" s="11">
        <v>57.85793907124382</v>
      </c>
      <c r="O8" s="11">
        <v>56.822154781556009</v>
      </c>
      <c r="P8" s="11">
        <v>57.186167811692897</v>
      </c>
      <c r="Q8" s="11">
        <v>59.094634404423473</v>
      </c>
      <c r="R8" s="11">
        <v>59.954720660988322</v>
      </c>
    </row>
    <row r="10" spans="1:25" x14ac:dyDescent="0.3">
      <c r="F10" s="52" t="s">
        <v>48</v>
      </c>
      <c r="G10" s="52"/>
      <c r="H10" s="52"/>
      <c r="I10" s="52"/>
      <c r="J10" s="52"/>
      <c r="K10" s="52"/>
      <c r="L10" s="52"/>
    </row>
    <row r="11" spans="1:25" x14ac:dyDescent="0.3">
      <c r="E11" s="75" t="s">
        <v>35</v>
      </c>
      <c r="F11" s="8" t="s">
        <v>25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47</v>
      </c>
    </row>
    <row r="12" spans="1:25" x14ac:dyDescent="0.3">
      <c r="E12" s="75"/>
      <c r="F12" s="9" t="s">
        <v>2</v>
      </c>
      <c r="G12" s="10">
        <f>C5-M5</f>
        <v>1.2808087245264304</v>
      </c>
      <c r="H12" s="10">
        <f t="shared" ref="H12:L15" si="0">D5-N5</f>
        <v>3.3991328742557769</v>
      </c>
      <c r="I12" s="10">
        <f t="shared" si="0"/>
        <v>1.7474463467894381</v>
      </c>
      <c r="J12" s="10">
        <f t="shared" si="0"/>
        <v>3.4128236611108207</v>
      </c>
      <c r="K12" s="10">
        <f t="shared" si="0"/>
        <v>4.1538282467036609</v>
      </c>
      <c r="L12" s="10">
        <f t="shared" si="0"/>
        <v>3.1505629646731421</v>
      </c>
    </row>
    <row r="13" spans="1:25" x14ac:dyDescent="0.3">
      <c r="E13" s="75"/>
      <c r="F13" s="9" t="s">
        <v>3</v>
      </c>
      <c r="G13" s="10">
        <f>C6-M6</f>
        <v>2.0119385844660513</v>
      </c>
      <c r="H13" s="10">
        <f t="shared" si="0"/>
        <v>2.6331508912639876</v>
      </c>
      <c r="I13" s="10">
        <f t="shared" si="0"/>
        <v>0.41400784735252216</v>
      </c>
      <c r="J13" s="10">
        <f t="shared" si="0"/>
        <v>0.67294607193284861</v>
      </c>
      <c r="K13" s="10">
        <f t="shared" si="0"/>
        <v>1.0969170001265525</v>
      </c>
      <c r="L13" s="10">
        <f t="shared" si="0"/>
        <v>4.8750313873674003</v>
      </c>
    </row>
    <row r="14" spans="1:25" x14ac:dyDescent="0.3">
      <c r="E14" s="75"/>
      <c r="F14" s="9" t="s">
        <v>4</v>
      </c>
      <c r="G14" s="10">
        <f>C7-M7</f>
        <v>-0.10869870213510069</v>
      </c>
      <c r="H14" s="10">
        <f t="shared" si="0"/>
        <v>-0.48344097541662734</v>
      </c>
      <c r="I14" s="10">
        <f t="shared" si="0"/>
        <v>-0.18544030843546011</v>
      </c>
      <c r="J14" s="10">
        <f t="shared" si="0"/>
        <v>-0.21619560484737121</v>
      </c>
      <c r="K14" s="10">
        <f t="shared" si="0"/>
        <v>-0.31497793803090701</v>
      </c>
      <c r="L14" s="10">
        <f t="shared" si="0"/>
        <v>0.15982312990885816</v>
      </c>
    </row>
    <row r="15" spans="1:25" x14ac:dyDescent="0.3">
      <c r="E15" s="75"/>
      <c r="F15" s="20" t="s">
        <v>5</v>
      </c>
      <c r="G15" s="10">
        <f>C8-M8</f>
        <v>1.4989931784707267</v>
      </c>
      <c r="H15" s="10">
        <f t="shared" si="0"/>
        <v>2.1420609287561803</v>
      </c>
      <c r="I15" s="10">
        <f t="shared" si="0"/>
        <v>3.1778452184439914</v>
      </c>
      <c r="J15" s="10">
        <f t="shared" si="0"/>
        <v>2.8138321883071029</v>
      </c>
      <c r="K15" s="10">
        <f t="shared" si="0"/>
        <v>1.9053655955765265</v>
      </c>
      <c r="L15" s="10">
        <f t="shared" si="0"/>
        <v>2.0452793390116781</v>
      </c>
    </row>
    <row r="17" spans="1:25" x14ac:dyDescent="0.3">
      <c r="B17" s="52" t="s">
        <v>49</v>
      </c>
      <c r="C17" s="52"/>
      <c r="D17" s="52"/>
      <c r="E17" s="52"/>
      <c r="F17" s="52"/>
      <c r="G17" s="52"/>
      <c r="H17" s="52"/>
      <c r="L17" s="52" t="s">
        <v>50</v>
      </c>
      <c r="M17" s="52"/>
      <c r="N17" s="52"/>
      <c r="O17" s="52"/>
      <c r="P17" s="52"/>
      <c r="Q17" s="52"/>
      <c r="R17" s="52"/>
    </row>
    <row r="18" spans="1:25" x14ac:dyDescent="0.3">
      <c r="B18" s="8" t="s">
        <v>25</v>
      </c>
      <c r="C18" s="1" t="s">
        <v>27</v>
      </c>
      <c r="D18" s="1" t="s">
        <v>28</v>
      </c>
      <c r="E18" s="1" t="s">
        <v>29</v>
      </c>
      <c r="F18" s="1" t="s">
        <v>30</v>
      </c>
      <c r="G18" s="1" t="s">
        <v>31</v>
      </c>
      <c r="H18" s="1" t="s">
        <v>47</v>
      </c>
      <c r="L18" s="8" t="s">
        <v>25</v>
      </c>
      <c r="M18" s="1" t="s">
        <v>27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47</v>
      </c>
      <c r="U18" s="35"/>
      <c r="V18" s="35"/>
      <c r="W18" s="35"/>
      <c r="X18" s="35"/>
      <c r="Y18" s="35"/>
    </row>
    <row r="19" spans="1:25" x14ac:dyDescent="0.3">
      <c r="A19" s="75" t="s">
        <v>24</v>
      </c>
      <c r="B19" s="9" t="s">
        <v>10</v>
      </c>
      <c r="C19" s="7">
        <v>55</v>
      </c>
      <c r="D19" s="7">
        <v>50</v>
      </c>
      <c r="E19" s="7">
        <v>53</v>
      </c>
      <c r="F19" s="7">
        <v>51</v>
      </c>
      <c r="G19" s="7">
        <v>53</v>
      </c>
      <c r="H19" s="7">
        <v>52</v>
      </c>
      <c r="K19" s="75" t="s">
        <v>24</v>
      </c>
      <c r="L19" s="9" t="s">
        <v>10</v>
      </c>
      <c r="M19" s="10">
        <v>52.190966887183883</v>
      </c>
      <c r="N19" s="10">
        <v>49.582058766264403</v>
      </c>
      <c r="O19" s="10">
        <v>51.50972081593973</v>
      </c>
      <c r="P19" s="10">
        <v>49.919744114269662</v>
      </c>
      <c r="Q19" s="10">
        <v>50.337902586017947</v>
      </c>
      <c r="R19" s="10">
        <v>50.663675869786836</v>
      </c>
      <c r="U19" s="44"/>
      <c r="V19" s="39"/>
      <c r="W19" s="40"/>
      <c r="X19" s="40"/>
      <c r="Y19" s="41"/>
    </row>
    <row r="20" spans="1:25" x14ac:dyDescent="0.3">
      <c r="A20" s="75"/>
      <c r="B20" s="9" t="s">
        <v>11</v>
      </c>
      <c r="C20" s="7">
        <v>53</v>
      </c>
      <c r="D20" s="7">
        <v>53</v>
      </c>
      <c r="E20" s="7">
        <v>56</v>
      </c>
      <c r="F20" s="7">
        <v>55</v>
      </c>
      <c r="G20" s="7">
        <v>58</v>
      </c>
      <c r="H20" s="7">
        <v>59</v>
      </c>
      <c r="K20" s="75"/>
      <c r="L20" s="9" t="s">
        <v>11</v>
      </c>
      <c r="M20" s="10">
        <v>51.091782065232721</v>
      </c>
      <c r="N20" s="10">
        <v>51.248544751989037</v>
      </c>
      <c r="O20" s="10">
        <v>53.613790508932297</v>
      </c>
      <c r="P20" s="10">
        <v>53.25158623059653</v>
      </c>
      <c r="Q20" s="10">
        <v>56.272723781990969</v>
      </c>
      <c r="R20" s="10">
        <v>58.092535869855347</v>
      </c>
      <c r="U20" s="45"/>
      <c r="V20" s="1"/>
      <c r="W20" s="1"/>
      <c r="X20" s="1"/>
      <c r="Y20" s="1"/>
    </row>
    <row r="21" spans="1:25" x14ac:dyDescent="0.3">
      <c r="A21" s="75"/>
      <c r="B21" s="9" t="s">
        <v>2</v>
      </c>
      <c r="C21" s="10">
        <v>53</v>
      </c>
      <c r="D21" s="7">
        <v>57</v>
      </c>
      <c r="E21" s="7">
        <v>58</v>
      </c>
      <c r="F21" s="7">
        <v>63</v>
      </c>
      <c r="G21" s="7">
        <v>55</v>
      </c>
      <c r="H21" s="7">
        <v>58</v>
      </c>
      <c r="K21" s="75"/>
      <c r="L21" s="9" t="s">
        <v>2</v>
      </c>
      <c r="M21" s="10">
        <v>52.033717476422893</v>
      </c>
      <c r="N21" s="10">
        <v>54.038334270128345</v>
      </c>
      <c r="O21" s="10">
        <v>55.886466703456435</v>
      </c>
      <c r="P21" s="10">
        <v>62.329772263648557</v>
      </c>
      <c r="Q21" s="10">
        <v>51.640803537959634</v>
      </c>
      <c r="R21" s="10">
        <v>55.396816435308011</v>
      </c>
      <c r="U21" s="3"/>
      <c r="V21" s="4"/>
      <c r="W21" s="4"/>
      <c r="X21" s="4"/>
      <c r="Y21" s="4"/>
    </row>
    <row r="22" spans="1:25" x14ac:dyDescent="0.3">
      <c r="A22" s="75"/>
      <c r="B22" s="9" t="s">
        <v>5</v>
      </c>
      <c r="C22" s="7">
        <v>53</v>
      </c>
      <c r="D22" s="7">
        <v>53</v>
      </c>
      <c r="E22" s="7">
        <v>55</v>
      </c>
      <c r="F22" s="7">
        <v>54</v>
      </c>
      <c r="G22" s="7">
        <v>56</v>
      </c>
      <c r="H22" s="7">
        <v>56</v>
      </c>
      <c r="K22" s="75"/>
      <c r="L22" s="9" t="s">
        <v>5</v>
      </c>
      <c r="M22" s="10">
        <v>51.152371896838453</v>
      </c>
      <c r="N22" s="10">
        <v>51.184258282080862</v>
      </c>
      <c r="O22" s="10">
        <v>52.727794488294577</v>
      </c>
      <c r="P22" s="10">
        <v>52.382528973553946</v>
      </c>
      <c r="Q22" s="10">
        <v>53.520010783248246</v>
      </c>
      <c r="R22" s="10">
        <v>53.690158144317365</v>
      </c>
    </row>
    <row r="24" spans="1:25" x14ac:dyDescent="0.3">
      <c r="F24" s="52" t="s">
        <v>51</v>
      </c>
      <c r="G24" s="52"/>
      <c r="H24" s="52"/>
      <c r="I24" s="52"/>
      <c r="J24" s="52"/>
      <c r="K24" s="52"/>
      <c r="L24" s="52"/>
    </row>
    <row r="25" spans="1:25" x14ac:dyDescent="0.3">
      <c r="F25" s="8" t="s">
        <v>25</v>
      </c>
      <c r="G25" s="1" t="s">
        <v>27</v>
      </c>
      <c r="H25" s="1" t="s">
        <v>28</v>
      </c>
      <c r="I25" s="1" t="s">
        <v>29</v>
      </c>
      <c r="J25" s="1" t="s">
        <v>30</v>
      </c>
      <c r="K25" s="1" t="s">
        <v>31</v>
      </c>
      <c r="L25" s="1" t="s">
        <v>47</v>
      </c>
    </row>
    <row r="26" spans="1:25" x14ac:dyDescent="0.3">
      <c r="E26" s="75" t="s">
        <v>24</v>
      </c>
      <c r="F26" s="9" t="s">
        <v>10</v>
      </c>
      <c r="G26" s="10">
        <f>C19-M19</f>
        <v>2.8090331128161168</v>
      </c>
      <c r="H26" s="10">
        <f t="shared" ref="H26:L29" si="1">D19-N19</f>
        <v>0.417941233735597</v>
      </c>
      <c r="I26" s="10">
        <f t="shared" si="1"/>
        <v>1.4902791840602703</v>
      </c>
      <c r="J26" s="10">
        <f t="shared" si="1"/>
        <v>1.0802558857303382</v>
      </c>
      <c r="K26" s="10">
        <f t="shared" si="1"/>
        <v>2.6620974139820532</v>
      </c>
      <c r="L26" s="10">
        <f t="shared" si="1"/>
        <v>1.3363241302131641</v>
      </c>
    </row>
    <row r="27" spans="1:25" x14ac:dyDescent="0.3">
      <c r="E27" s="75"/>
      <c r="F27" s="9" t="s">
        <v>11</v>
      </c>
      <c r="G27" s="10">
        <f t="shared" ref="G27:G29" si="2">C20-M20</f>
        <v>1.9082179347672792</v>
      </c>
      <c r="H27" s="10">
        <f t="shared" si="1"/>
        <v>1.7514552480109629</v>
      </c>
      <c r="I27" s="10">
        <f t="shared" si="1"/>
        <v>2.386209491067703</v>
      </c>
      <c r="J27" s="10">
        <f t="shared" si="1"/>
        <v>1.74841376940347</v>
      </c>
      <c r="K27" s="10">
        <f t="shared" si="1"/>
        <v>1.7272762180090311</v>
      </c>
      <c r="L27" s="10">
        <f t="shared" si="1"/>
        <v>0.90746413014465332</v>
      </c>
    </row>
    <row r="28" spans="1:25" x14ac:dyDescent="0.3">
      <c r="E28" s="75"/>
      <c r="F28" s="9" t="s">
        <v>2</v>
      </c>
      <c r="G28" s="10">
        <f t="shared" si="2"/>
        <v>0.96628252357710664</v>
      </c>
      <c r="H28" s="10">
        <f t="shared" si="1"/>
        <v>2.9616657298716547</v>
      </c>
      <c r="I28" s="10">
        <f t="shared" si="1"/>
        <v>2.1135332965435651</v>
      </c>
      <c r="J28" s="10">
        <f t="shared" si="1"/>
        <v>0.67022773635144262</v>
      </c>
      <c r="K28" s="10">
        <f t="shared" si="1"/>
        <v>3.3591964620403658</v>
      </c>
      <c r="L28" s="10">
        <f t="shared" si="1"/>
        <v>2.6031835646919887</v>
      </c>
    </row>
    <row r="29" spans="1:25" x14ac:dyDescent="0.3">
      <c r="E29" s="75"/>
      <c r="F29" s="9" t="s">
        <v>5</v>
      </c>
      <c r="G29" s="10">
        <f t="shared" si="2"/>
        <v>1.8476281031615471</v>
      </c>
      <c r="H29" s="10">
        <f t="shared" si="1"/>
        <v>1.8157417179191384</v>
      </c>
      <c r="I29" s="10">
        <f t="shared" si="1"/>
        <v>2.2722055117054225</v>
      </c>
      <c r="J29" s="10">
        <f t="shared" si="1"/>
        <v>1.6174710264460543</v>
      </c>
      <c r="K29" s="10">
        <f t="shared" si="1"/>
        <v>2.4799892167517541</v>
      </c>
      <c r="L29" s="10">
        <f t="shared" si="1"/>
        <v>2.3098418556826346</v>
      </c>
    </row>
  </sheetData>
  <mergeCells count="17">
    <mergeCell ref="V5:Y5"/>
    <mergeCell ref="B3:H3"/>
    <mergeCell ref="L3:R3"/>
    <mergeCell ref="A4:A8"/>
    <mergeCell ref="K4:K8"/>
    <mergeCell ref="U5:U6"/>
    <mergeCell ref="U18:Y18"/>
    <mergeCell ref="A19:A22"/>
    <mergeCell ref="K19:K22"/>
    <mergeCell ref="U19:U20"/>
    <mergeCell ref="V19:Y19"/>
    <mergeCell ref="F24:L24"/>
    <mergeCell ref="E26:E29"/>
    <mergeCell ref="F10:L10"/>
    <mergeCell ref="E11:E15"/>
    <mergeCell ref="B17:H17"/>
    <mergeCell ref="L17:R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0AE-5C06-4739-B6E8-6CE85936D9ED}">
  <dimension ref="A2:Y34"/>
  <sheetViews>
    <sheetView workbookViewId="0">
      <selection activeCell="S35" sqref="S35"/>
    </sheetView>
  </sheetViews>
  <sheetFormatPr defaultRowHeight="14.4" x14ac:dyDescent="0.3"/>
  <cols>
    <col min="21" max="21" width="14.109375" bestFit="1" customWidth="1"/>
  </cols>
  <sheetData>
    <row r="2" spans="1:25" x14ac:dyDescent="0.3">
      <c r="B2" t="s">
        <v>52</v>
      </c>
    </row>
    <row r="3" spans="1:25" x14ac:dyDescent="0.3">
      <c r="B3" s="52" t="s">
        <v>53</v>
      </c>
      <c r="C3" s="52"/>
      <c r="D3" s="52"/>
      <c r="E3" s="52"/>
      <c r="F3" s="52"/>
      <c r="G3" s="52"/>
      <c r="H3" s="52"/>
      <c r="L3" s="52" t="s">
        <v>54</v>
      </c>
      <c r="M3" s="52"/>
      <c r="N3" s="52"/>
      <c r="O3" s="52"/>
      <c r="P3" s="52"/>
      <c r="Q3" s="52"/>
      <c r="R3" s="52"/>
    </row>
    <row r="4" spans="1:25" x14ac:dyDescent="0.3">
      <c r="B4" s="52"/>
      <c r="C4" s="52"/>
      <c r="D4" s="52"/>
      <c r="E4" s="52"/>
      <c r="F4" s="52"/>
      <c r="G4" s="52"/>
      <c r="H4" s="52"/>
      <c r="L4" s="52"/>
      <c r="M4" s="52"/>
      <c r="N4" s="52"/>
      <c r="O4" s="52"/>
      <c r="P4" s="52"/>
      <c r="Q4" s="52"/>
      <c r="R4" s="52"/>
      <c r="U4" s="35"/>
      <c r="V4" s="35"/>
      <c r="W4" s="35"/>
      <c r="X4" s="35"/>
      <c r="Y4" s="35"/>
    </row>
    <row r="5" spans="1:25" x14ac:dyDescent="0.3">
      <c r="A5" s="75" t="s">
        <v>35</v>
      </c>
      <c r="B5" s="8" t="s">
        <v>25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47</v>
      </c>
      <c r="K5" s="75" t="s">
        <v>35</v>
      </c>
      <c r="L5" s="8" t="s">
        <v>25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47</v>
      </c>
      <c r="U5" s="44"/>
      <c r="V5" s="39"/>
      <c r="W5" s="40"/>
      <c r="X5" s="40"/>
      <c r="Y5" s="41"/>
    </row>
    <row r="6" spans="1:25" x14ac:dyDescent="0.3">
      <c r="A6" s="75"/>
      <c r="B6" s="9" t="s">
        <v>2</v>
      </c>
      <c r="C6" s="10">
        <v>62</v>
      </c>
      <c r="D6" s="7">
        <v>61</v>
      </c>
      <c r="E6" s="7">
        <v>59</v>
      </c>
      <c r="F6" s="7">
        <v>58</v>
      </c>
      <c r="G6" s="7">
        <v>54</v>
      </c>
      <c r="H6" s="7">
        <v>53</v>
      </c>
      <c r="K6" s="75"/>
      <c r="L6" s="9" t="s">
        <v>2</v>
      </c>
      <c r="M6" s="10">
        <v>61.640647709048636</v>
      </c>
      <c r="N6" s="11">
        <v>60.229098531920407</v>
      </c>
      <c r="O6" s="10">
        <v>57.70472526077112</v>
      </c>
      <c r="P6" s="10">
        <v>54.957377093150789</v>
      </c>
      <c r="Q6" s="10">
        <v>51.697553871782688</v>
      </c>
      <c r="R6" s="10">
        <v>50.438692387854026</v>
      </c>
      <c r="U6" s="45"/>
      <c r="V6" s="1"/>
      <c r="W6" s="1"/>
      <c r="X6" s="1"/>
      <c r="Y6" s="2"/>
    </row>
    <row r="7" spans="1:25" x14ac:dyDescent="0.3">
      <c r="A7" s="75"/>
      <c r="B7" s="9" t="s">
        <v>3</v>
      </c>
      <c r="C7" s="7">
        <v>63</v>
      </c>
      <c r="D7" s="7">
        <v>62</v>
      </c>
      <c r="E7" s="7">
        <v>63</v>
      </c>
      <c r="F7" s="7">
        <v>63</v>
      </c>
      <c r="G7" s="7">
        <v>64</v>
      </c>
      <c r="H7" s="7">
        <v>64</v>
      </c>
      <c r="K7" s="75"/>
      <c r="L7" s="9" t="s">
        <v>3</v>
      </c>
      <c r="M7" s="10">
        <v>62.719569009857651</v>
      </c>
      <c r="N7" s="11">
        <v>61.584569669283709</v>
      </c>
      <c r="O7" s="10">
        <v>62.460122629482385</v>
      </c>
      <c r="P7" s="10">
        <v>62.607390830191662</v>
      </c>
      <c r="Q7" s="10">
        <v>62.848287952171376</v>
      </c>
      <c r="R7" s="10">
        <v>63.236443320832727</v>
      </c>
      <c r="U7" s="3"/>
      <c r="V7" s="5"/>
      <c r="W7" s="4"/>
      <c r="X7" s="4"/>
      <c r="Y7" s="5"/>
    </row>
    <row r="8" spans="1:25" x14ac:dyDescent="0.3">
      <c r="A8" s="75"/>
      <c r="B8" s="9" t="s">
        <v>4</v>
      </c>
      <c r="C8" s="7">
        <v>69</v>
      </c>
      <c r="D8" s="7">
        <v>70</v>
      </c>
      <c r="E8" s="7">
        <v>69</v>
      </c>
      <c r="F8" s="7">
        <v>70</v>
      </c>
      <c r="G8" s="7">
        <v>70</v>
      </c>
      <c r="H8" s="7">
        <v>70</v>
      </c>
      <c r="K8" s="75"/>
      <c r="L8" s="9" t="s">
        <v>4</v>
      </c>
      <c r="M8" s="11">
        <v>68.671554519786014</v>
      </c>
      <c r="N8" s="11">
        <v>69.919724271618563</v>
      </c>
      <c r="O8" s="10">
        <v>68.858786523417123</v>
      </c>
      <c r="P8" s="10">
        <v>69.718995965081376</v>
      </c>
      <c r="Q8" s="10">
        <v>70.49489478744465</v>
      </c>
      <c r="R8" s="10">
        <v>70.222944681184472</v>
      </c>
    </row>
    <row r="9" spans="1:25" x14ac:dyDescent="0.3">
      <c r="A9" s="75"/>
      <c r="B9" s="20" t="s">
        <v>5</v>
      </c>
      <c r="C9" s="18">
        <v>62</v>
      </c>
      <c r="D9" s="18">
        <v>62</v>
      </c>
      <c r="E9" s="18">
        <v>61</v>
      </c>
      <c r="F9" s="18">
        <v>62</v>
      </c>
      <c r="G9" s="18">
        <v>61</v>
      </c>
      <c r="H9" s="18">
        <v>60</v>
      </c>
      <c r="K9" s="75"/>
      <c r="L9" s="20" t="s">
        <v>5</v>
      </c>
      <c r="M9" s="11">
        <v>60.725254333707881</v>
      </c>
      <c r="N9" s="11">
        <v>60.659165360170604</v>
      </c>
      <c r="O9" s="11">
        <v>60.053937894464887</v>
      </c>
      <c r="P9" s="11">
        <v>60.093253157910759</v>
      </c>
      <c r="Q9" s="11">
        <v>58.703078324379398</v>
      </c>
      <c r="R9" s="11">
        <v>57.622660099823172</v>
      </c>
    </row>
    <row r="12" spans="1:25" x14ac:dyDescent="0.3">
      <c r="F12" s="52" t="s">
        <v>44</v>
      </c>
      <c r="G12" s="52"/>
      <c r="H12" s="52"/>
      <c r="I12" s="52"/>
      <c r="J12" s="52"/>
      <c r="K12" s="52"/>
      <c r="L12" s="52"/>
    </row>
    <row r="13" spans="1:25" x14ac:dyDescent="0.3">
      <c r="E13" s="75" t="s">
        <v>35</v>
      </c>
      <c r="F13" s="8" t="s">
        <v>25</v>
      </c>
      <c r="G13" s="1" t="s">
        <v>27</v>
      </c>
      <c r="H13" s="1" t="s">
        <v>28</v>
      </c>
      <c r="I13" s="1" t="s">
        <v>29</v>
      </c>
      <c r="J13" s="1" t="s">
        <v>30</v>
      </c>
      <c r="K13" s="1" t="s">
        <v>31</v>
      </c>
      <c r="L13" s="1" t="s">
        <v>47</v>
      </c>
    </row>
    <row r="14" spans="1:25" x14ac:dyDescent="0.3">
      <c r="E14" s="75"/>
      <c r="F14" s="33" t="s">
        <v>2</v>
      </c>
      <c r="G14" s="34">
        <f>C6-M6</f>
        <v>0.35935229095136378</v>
      </c>
      <c r="H14" s="34">
        <f t="shared" ref="H14:L17" si="0">D6-N6</f>
        <v>0.77090146807959314</v>
      </c>
      <c r="I14" s="34">
        <f t="shared" si="0"/>
        <v>1.2952747392288799</v>
      </c>
      <c r="J14" s="34">
        <f t="shared" si="0"/>
        <v>3.0426229068492106</v>
      </c>
      <c r="K14" s="34">
        <f t="shared" si="0"/>
        <v>2.3024461282173121</v>
      </c>
      <c r="L14" s="34">
        <f t="shared" si="0"/>
        <v>2.5613076121459741</v>
      </c>
    </row>
    <row r="15" spans="1:25" x14ac:dyDescent="0.3">
      <c r="E15" s="75"/>
      <c r="F15" s="9" t="s">
        <v>3</v>
      </c>
      <c r="G15" s="10">
        <f>C7-M7</f>
        <v>0.2804309901423494</v>
      </c>
      <c r="H15" s="10">
        <f t="shared" si="0"/>
        <v>0.41543033071629054</v>
      </c>
      <c r="I15" s="10">
        <f t="shared" si="0"/>
        <v>0.53987737051761542</v>
      </c>
      <c r="J15" s="10">
        <f t="shared" si="0"/>
        <v>0.39260916980833827</v>
      </c>
      <c r="K15" s="10">
        <f t="shared" si="0"/>
        <v>1.1517120478286245</v>
      </c>
      <c r="L15" s="10">
        <f t="shared" si="0"/>
        <v>0.76355667916727299</v>
      </c>
    </row>
    <row r="16" spans="1:25" x14ac:dyDescent="0.3">
      <c r="E16" s="75"/>
      <c r="F16" s="9" t="s">
        <v>4</v>
      </c>
      <c r="G16" s="11">
        <f>C8-M8</f>
        <v>0.32844548021398623</v>
      </c>
      <c r="H16" s="11">
        <f t="shared" si="0"/>
        <v>8.0275728381437261E-2</v>
      </c>
      <c r="I16" s="11">
        <f t="shared" si="0"/>
        <v>0.14121347658287675</v>
      </c>
      <c r="J16" s="11">
        <f t="shared" si="0"/>
        <v>0.2810040349186238</v>
      </c>
      <c r="K16" s="11">
        <f t="shared" si="0"/>
        <v>-0.49489478744465032</v>
      </c>
      <c r="L16" s="11">
        <f t="shared" si="0"/>
        <v>-0.22294468118447242</v>
      </c>
    </row>
    <row r="17" spans="1:25" x14ac:dyDescent="0.3">
      <c r="E17" s="75"/>
      <c r="F17" s="20" t="s">
        <v>5</v>
      </c>
      <c r="G17" s="11">
        <f>C9-M9</f>
        <v>1.2747456662921195</v>
      </c>
      <c r="H17" s="11">
        <f t="shared" si="0"/>
        <v>1.3408346398293958</v>
      </c>
      <c r="I17" s="11">
        <f t="shared" si="0"/>
        <v>0.94606210553511261</v>
      </c>
      <c r="J17" s="11">
        <f t="shared" si="0"/>
        <v>1.9067468420892411</v>
      </c>
      <c r="K17" s="11">
        <f t="shared" si="0"/>
        <v>2.2969216756206023</v>
      </c>
      <c r="L17" s="11">
        <f t="shared" si="0"/>
        <v>2.3773399001768283</v>
      </c>
    </row>
    <row r="18" spans="1:25" x14ac:dyDescent="0.3">
      <c r="U18" s="35"/>
      <c r="V18" s="35"/>
      <c r="W18" s="35"/>
      <c r="X18" s="35"/>
      <c r="Y18" s="35"/>
    </row>
    <row r="19" spans="1:25" x14ac:dyDescent="0.3">
      <c r="B19" s="52" t="s">
        <v>53</v>
      </c>
      <c r="C19" s="52"/>
      <c r="D19" s="52"/>
      <c r="E19" s="52"/>
      <c r="F19" s="52"/>
      <c r="G19" s="52"/>
      <c r="H19" s="52"/>
      <c r="L19" s="52" t="s">
        <v>54</v>
      </c>
      <c r="M19" s="52"/>
      <c r="N19" s="52"/>
      <c r="O19" s="52"/>
      <c r="P19" s="52"/>
      <c r="Q19" s="52"/>
      <c r="R19" s="52"/>
      <c r="U19" s="44"/>
      <c r="V19" s="39"/>
      <c r="W19" s="40"/>
      <c r="X19" s="40"/>
      <c r="Y19" s="41"/>
    </row>
    <row r="20" spans="1:25" x14ac:dyDescent="0.3">
      <c r="B20" s="8" t="s">
        <v>25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47</v>
      </c>
      <c r="L20" s="8" t="s">
        <v>25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47</v>
      </c>
      <c r="U20" s="45"/>
      <c r="V20" s="1"/>
      <c r="W20" s="1"/>
      <c r="X20" s="1"/>
      <c r="Y20" s="1"/>
    </row>
    <row r="21" spans="1:25" x14ac:dyDescent="0.3">
      <c r="A21" s="75" t="s">
        <v>24</v>
      </c>
      <c r="B21" s="9" t="s">
        <v>10</v>
      </c>
      <c r="C21" s="7">
        <v>53</v>
      </c>
      <c r="D21" s="7">
        <v>53</v>
      </c>
      <c r="E21" s="7">
        <v>54</v>
      </c>
      <c r="F21" s="7">
        <v>54</v>
      </c>
      <c r="G21" s="7">
        <v>55</v>
      </c>
      <c r="H21" s="7">
        <v>55</v>
      </c>
      <c r="K21" s="75" t="s">
        <v>24</v>
      </c>
      <c r="L21" s="9" t="s">
        <v>10</v>
      </c>
      <c r="M21" s="10">
        <v>51.658433526356511</v>
      </c>
      <c r="N21" s="10">
        <v>51.211727314069215</v>
      </c>
      <c r="O21" s="10">
        <v>52.123014715906969</v>
      </c>
      <c r="P21" s="10">
        <v>52.582045930731887</v>
      </c>
      <c r="Q21" s="10">
        <v>53.557808149124959</v>
      </c>
      <c r="R21" s="10">
        <v>53.023940581393013</v>
      </c>
      <c r="U21" s="3"/>
      <c r="V21" s="4"/>
      <c r="W21" s="4"/>
      <c r="X21" s="5"/>
      <c r="Y21" s="4"/>
    </row>
    <row r="22" spans="1:25" x14ac:dyDescent="0.3">
      <c r="A22" s="75"/>
      <c r="B22" s="9" t="s">
        <v>11</v>
      </c>
      <c r="C22" s="7">
        <v>53</v>
      </c>
      <c r="D22" s="7">
        <v>56</v>
      </c>
      <c r="E22" s="7">
        <v>55</v>
      </c>
      <c r="F22" s="7">
        <v>56</v>
      </c>
      <c r="G22" s="7">
        <v>57</v>
      </c>
      <c r="H22" s="7">
        <v>56</v>
      </c>
      <c r="K22" s="75"/>
      <c r="L22" s="9" t="s">
        <v>11</v>
      </c>
      <c r="M22" s="10">
        <v>51.50612878521892</v>
      </c>
      <c r="N22" s="10">
        <v>54.269769250488778</v>
      </c>
      <c r="O22" s="10">
        <v>54.067146466756434</v>
      </c>
      <c r="P22" s="10">
        <v>53.936475560380238</v>
      </c>
      <c r="Q22" s="10">
        <v>55.476112283886323</v>
      </c>
      <c r="R22" s="10">
        <v>54.386997094962346</v>
      </c>
    </row>
    <row r="23" spans="1:25" x14ac:dyDescent="0.3">
      <c r="A23" s="75"/>
      <c r="B23" s="9" t="s">
        <v>2</v>
      </c>
      <c r="C23" s="10">
        <v>62</v>
      </c>
      <c r="D23" s="7">
        <v>59</v>
      </c>
      <c r="E23" s="7">
        <v>62</v>
      </c>
      <c r="F23" s="7">
        <v>60</v>
      </c>
      <c r="G23" s="7">
        <v>60</v>
      </c>
      <c r="H23" s="7">
        <v>58</v>
      </c>
      <c r="K23" s="75"/>
      <c r="L23" s="9" t="s">
        <v>2</v>
      </c>
      <c r="M23" s="10">
        <v>61.277300069421123</v>
      </c>
      <c r="N23" s="10">
        <v>57.597388743655266</v>
      </c>
      <c r="O23" s="10">
        <v>61.330384664084193</v>
      </c>
      <c r="P23" s="10">
        <v>58.492832775610374</v>
      </c>
      <c r="Q23" s="10">
        <v>57.843118221901051</v>
      </c>
      <c r="R23" s="10">
        <v>56.261924701551152</v>
      </c>
    </row>
    <row r="24" spans="1:25" x14ac:dyDescent="0.3">
      <c r="A24" s="75"/>
      <c r="B24" s="9" t="s">
        <v>5</v>
      </c>
      <c r="C24" s="7">
        <v>55</v>
      </c>
      <c r="D24" s="7">
        <v>56</v>
      </c>
      <c r="E24" s="7">
        <v>56</v>
      </c>
      <c r="F24" s="7">
        <v>57</v>
      </c>
      <c r="G24" s="7">
        <v>58</v>
      </c>
      <c r="H24" s="7">
        <v>57</v>
      </c>
      <c r="K24" s="75"/>
      <c r="L24" s="9" t="s">
        <v>5</v>
      </c>
      <c r="M24" s="10">
        <v>53.152478233924533</v>
      </c>
      <c r="N24" s="10">
        <v>54.372951746840208</v>
      </c>
      <c r="O24" s="10">
        <v>54.471837720125308</v>
      </c>
      <c r="P24" s="10">
        <v>55.042999685517195</v>
      </c>
      <c r="Q24" s="10">
        <v>55.547294958556712</v>
      </c>
      <c r="R24" s="10">
        <v>54.682409376062807</v>
      </c>
    </row>
    <row r="29" spans="1:25" x14ac:dyDescent="0.3">
      <c r="G29" s="35" t="s">
        <v>36</v>
      </c>
      <c r="H29" s="35"/>
      <c r="I29" s="35"/>
      <c r="J29" s="35"/>
      <c r="K29" s="35"/>
      <c r="L29" s="35"/>
      <c r="M29" s="35"/>
    </row>
    <row r="30" spans="1:25" x14ac:dyDescent="0.3">
      <c r="G30" s="8" t="s">
        <v>25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31</v>
      </c>
      <c r="M30" s="1" t="s">
        <v>47</v>
      </c>
    </row>
    <row r="31" spans="1:25" x14ac:dyDescent="0.3">
      <c r="F31" s="75" t="s">
        <v>24</v>
      </c>
      <c r="G31" s="9" t="s">
        <v>10</v>
      </c>
      <c r="H31" s="10">
        <f>C21-M21</f>
        <v>1.3415664736434891</v>
      </c>
      <c r="I31" s="10">
        <f t="shared" ref="I31:M34" si="1">D21-N21</f>
        <v>1.7882726859307851</v>
      </c>
      <c r="J31" s="10">
        <f t="shared" si="1"/>
        <v>1.8769852840930312</v>
      </c>
      <c r="K31" s="10">
        <f t="shared" si="1"/>
        <v>1.417954069268113</v>
      </c>
      <c r="L31" s="10">
        <f t="shared" si="1"/>
        <v>1.4421918508750409</v>
      </c>
      <c r="M31" s="10">
        <f t="shared" si="1"/>
        <v>1.9760594186069866</v>
      </c>
    </row>
    <row r="32" spans="1:25" x14ac:dyDescent="0.3">
      <c r="F32" s="75"/>
      <c r="G32" s="9" t="s">
        <v>11</v>
      </c>
      <c r="H32" s="10">
        <f>C22-M22</f>
        <v>1.4938712147810804</v>
      </c>
      <c r="I32" s="10">
        <f t="shared" si="1"/>
        <v>1.7302307495112217</v>
      </c>
      <c r="J32" s="10">
        <f t="shared" si="1"/>
        <v>0.93285353324356635</v>
      </c>
      <c r="K32" s="10">
        <f t="shared" si="1"/>
        <v>2.0635244396197621</v>
      </c>
      <c r="L32" s="10">
        <f t="shared" si="1"/>
        <v>1.523887716113677</v>
      </c>
      <c r="M32" s="10">
        <f t="shared" si="1"/>
        <v>1.6130029050376535</v>
      </c>
      <c r="P32" t="s">
        <v>18</v>
      </c>
    </row>
    <row r="33" spans="6:13" x14ac:dyDescent="0.3">
      <c r="F33" s="75"/>
      <c r="G33" s="9" t="s">
        <v>2</v>
      </c>
      <c r="H33" s="10">
        <f>C23-M23</f>
        <v>0.7226999305788766</v>
      </c>
      <c r="I33" s="10">
        <f t="shared" si="1"/>
        <v>1.4026112563447342</v>
      </c>
      <c r="J33" s="10">
        <f t="shared" si="1"/>
        <v>0.66961533591580746</v>
      </c>
      <c r="K33" s="10">
        <f t="shared" si="1"/>
        <v>1.5071672243896259</v>
      </c>
      <c r="L33" s="10">
        <f t="shared" si="1"/>
        <v>2.1568817780989491</v>
      </c>
      <c r="M33" s="10">
        <f t="shared" si="1"/>
        <v>1.7380752984488481</v>
      </c>
    </row>
    <row r="34" spans="6:13" x14ac:dyDescent="0.3">
      <c r="F34" s="75"/>
      <c r="G34" s="9" t="s">
        <v>5</v>
      </c>
      <c r="H34" s="10">
        <f>C24-M24</f>
        <v>1.8475217660754666</v>
      </c>
      <c r="I34" s="10">
        <f t="shared" si="1"/>
        <v>1.6270482531597921</v>
      </c>
      <c r="J34" s="10">
        <f t="shared" si="1"/>
        <v>1.5281622798746923</v>
      </c>
      <c r="K34" s="10">
        <f t="shared" si="1"/>
        <v>1.957000314482805</v>
      </c>
      <c r="L34" s="10">
        <f t="shared" si="1"/>
        <v>2.4527050414432878</v>
      </c>
      <c r="M34" s="10">
        <f t="shared" si="1"/>
        <v>2.3175906239371926</v>
      </c>
    </row>
  </sheetData>
  <mergeCells count="20">
    <mergeCell ref="A5:A9"/>
    <mergeCell ref="K5:K9"/>
    <mergeCell ref="U5:U6"/>
    <mergeCell ref="V5:Y5"/>
    <mergeCell ref="B3:H3"/>
    <mergeCell ref="L3:R3"/>
    <mergeCell ref="B4:H4"/>
    <mergeCell ref="L4:R4"/>
    <mergeCell ref="U4:Y4"/>
    <mergeCell ref="U18:Y18"/>
    <mergeCell ref="B19:H19"/>
    <mergeCell ref="L19:R19"/>
    <mergeCell ref="U19:U20"/>
    <mergeCell ref="V19:Y19"/>
    <mergeCell ref="A21:A24"/>
    <mergeCell ref="K21:K24"/>
    <mergeCell ref="G29:M29"/>
    <mergeCell ref="F31:F34"/>
    <mergeCell ref="F12:L12"/>
    <mergeCell ref="E13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Delhi</vt:lpstr>
      <vt:lpstr>Chennai</vt:lpstr>
      <vt:lpstr>Bangalore</vt:lpstr>
      <vt:lpstr>Mumbai</vt:lpstr>
      <vt:lpstr>Barshi</vt:lpstr>
      <vt:lpstr>Bhopal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2025-12-22T08:56:59Z</dcterms:created>
  <dcterms:modified xsi:type="dcterms:W3CDTF">2025-12-26T03:55:23Z</dcterms:modified>
</cp:coreProperties>
</file>