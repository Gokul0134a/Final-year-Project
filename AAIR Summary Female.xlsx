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o\Downloads\INTERN-FILE\Comparision File\"/>
    </mc:Choice>
  </mc:AlternateContent>
  <xr:revisionPtr revIDLastSave="0" documentId="13_ncr:1_{3E9A5C58-CA69-433E-969B-5606E3BF67EF}" xr6:coauthVersionLast="47" xr6:coauthVersionMax="47" xr10:uidLastSave="{00000000-0000-0000-0000-000000000000}"/>
  <bookViews>
    <workbookView xWindow="0" yWindow="360" windowWidth="23256" windowHeight="12456" activeTab="4" xr2:uid="{B7713519-B9A6-48E1-9BD7-59C83B67B3CB}"/>
  </bookViews>
  <sheets>
    <sheet name="Oral" sheetId="1" r:id="rId1"/>
    <sheet name="Breast" sheetId="3" r:id="rId2"/>
    <sheet name="Cervix" sheetId="2" r:id="rId3"/>
    <sheet name="All Sites" sheetId="4" r:id="rId4"/>
    <sheet name="Corr 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5" l="1"/>
  <c r="I68" i="5"/>
  <c r="H68" i="5"/>
  <c r="G68" i="5"/>
  <c r="F68" i="5"/>
  <c r="E68" i="5"/>
  <c r="J58" i="5"/>
  <c r="I58" i="5"/>
  <c r="H58" i="5"/>
  <c r="G58" i="5"/>
  <c r="F58" i="5"/>
  <c r="E58" i="5"/>
  <c r="K45" i="5"/>
  <c r="J45" i="5"/>
  <c r="I45" i="5"/>
  <c r="H45" i="5"/>
  <c r="G45" i="5"/>
  <c r="F45" i="5"/>
  <c r="E45" i="5"/>
  <c r="K33" i="5"/>
  <c r="J33" i="5"/>
  <c r="I33" i="5"/>
  <c r="H33" i="5"/>
  <c r="G33" i="5"/>
  <c r="F33" i="5"/>
  <c r="E33" i="5"/>
  <c r="K22" i="5"/>
  <c r="J22" i="5"/>
  <c r="I22" i="5"/>
  <c r="H22" i="5"/>
  <c r="G22" i="5"/>
  <c r="F22" i="5"/>
  <c r="E22" i="5"/>
  <c r="P38" i="1"/>
  <c r="P60" i="4" l="1"/>
  <c r="P50" i="4"/>
  <c r="P40" i="4"/>
  <c r="O29" i="4"/>
  <c r="O20" i="4"/>
  <c r="O8" i="4"/>
  <c r="P58" i="2"/>
  <c r="P49" i="2"/>
  <c r="P39" i="2"/>
  <c r="O28" i="2"/>
  <c r="O19" i="2"/>
  <c r="O6" i="2"/>
  <c r="P60" i="3"/>
  <c r="P49" i="3"/>
  <c r="P39" i="3"/>
  <c r="O29" i="3"/>
  <c r="O20" i="3"/>
  <c r="O7" i="3"/>
  <c r="P58" i="1"/>
  <c r="P49" i="1"/>
  <c r="O28" i="1"/>
  <c r="O19" i="1"/>
  <c r="O6" i="1"/>
  <c r="N60" i="2" l="1"/>
  <c r="M60" i="2"/>
  <c r="L60" i="2"/>
  <c r="K60" i="2"/>
  <c r="J60" i="2"/>
  <c r="I60" i="2"/>
  <c r="H60" i="2"/>
  <c r="N50" i="2"/>
  <c r="M50" i="2"/>
  <c r="L50" i="2"/>
  <c r="K50" i="2"/>
  <c r="J50" i="2"/>
  <c r="I50" i="2"/>
  <c r="H50" i="2"/>
  <c r="N40" i="2"/>
  <c r="M40" i="2"/>
  <c r="L40" i="2"/>
  <c r="K40" i="2"/>
  <c r="J40" i="2"/>
  <c r="I40" i="2"/>
  <c r="H40" i="2"/>
  <c r="N61" i="3"/>
  <c r="M61" i="3"/>
  <c r="L61" i="3"/>
  <c r="K61" i="3"/>
  <c r="J61" i="3"/>
  <c r="I61" i="3"/>
  <c r="H61" i="3"/>
  <c r="N51" i="3"/>
  <c r="M51" i="3"/>
  <c r="L51" i="3"/>
  <c r="K51" i="3"/>
  <c r="J51" i="3"/>
  <c r="I51" i="3"/>
  <c r="H51" i="3"/>
  <c r="N41" i="3"/>
  <c r="M41" i="3"/>
  <c r="L41" i="3"/>
  <c r="K41" i="3"/>
  <c r="J41" i="3"/>
  <c r="I41" i="3"/>
  <c r="H41" i="3"/>
  <c r="N60" i="1"/>
  <c r="M60" i="1"/>
  <c r="L60" i="1"/>
  <c r="K60" i="1"/>
  <c r="J60" i="1"/>
  <c r="I60" i="1"/>
  <c r="H60" i="1"/>
  <c r="N50" i="1"/>
  <c r="M50" i="1"/>
  <c r="L50" i="1"/>
  <c r="K50" i="1"/>
  <c r="J50" i="1"/>
  <c r="I50" i="1"/>
  <c r="H50" i="1"/>
  <c r="N40" i="1"/>
  <c r="M40" i="1"/>
  <c r="L40" i="1"/>
  <c r="K40" i="1"/>
  <c r="J40" i="1"/>
  <c r="I40" i="1"/>
  <c r="H40" i="1"/>
  <c r="N61" i="4"/>
  <c r="M61" i="4"/>
  <c r="L61" i="4"/>
  <c r="K61" i="4"/>
  <c r="J61" i="4"/>
  <c r="I61" i="4"/>
  <c r="H61" i="4"/>
  <c r="N51" i="4"/>
  <c r="M51" i="4"/>
  <c r="L51" i="4"/>
  <c r="K51" i="4"/>
  <c r="J51" i="4"/>
  <c r="I51" i="4"/>
  <c r="H51" i="4"/>
  <c r="N41" i="4"/>
  <c r="M41" i="4"/>
  <c r="L41" i="4"/>
  <c r="K41" i="4"/>
  <c r="J41" i="4"/>
  <c r="I41" i="4"/>
  <c r="H41" i="4"/>
  <c r="M8" i="2"/>
  <c r="I8" i="2"/>
  <c r="J8" i="2"/>
  <c r="K8" i="2"/>
  <c r="L8" i="2"/>
  <c r="H8" i="2"/>
  <c r="I20" i="2"/>
  <c r="J20" i="2"/>
  <c r="K20" i="2"/>
  <c r="L20" i="2"/>
  <c r="M20" i="2"/>
  <c r="H20" i="2"/>
  <c r="I30" i="2"/>
  <c r="J30" i="2"/>
  <c r="K30" i="2"/>
  <c r="L30" i="2"/>
  <c r="M30" i="2"/>
  <c r="H30" i="2"/>
  <c r="I31" i="3"/>
  <c r="J31" i="3"/>
  <c r="K31" i="3"/>
  <c r="L31" i="3"/>
  <c r="M31" i="3"/>
  <c r="H31" i="3"/>
  <c r="I21" i="3"/>
  <c r="J21" i="3"/>
  <c r="K21" i="3"/>
  <c r="L21" i="3"/>
  <c r="M21" i="3"/>
  <c r="H21" i="3"/>
  <c r="M9" i="3"/>
  <c r="I9" i="3"/>
  <c r="J9" i="3"/>
  <c r="K9" i="3"/>
  <c r="L9" i="3"/>
  <c r="H9" i="3"/>
  <c r="M8" i="1"/>
  <c r="I8" i="1"/>
  <c r="J8" i="1"/>
  <c r="K8" i="1"/>
  <c r="L8" i="1"/>
  <c r="H8" i="1"/>
  <c r="I30" i="1"/>
  <c r="J30" i="1"/>
  <c r="K30" i="1"/>
  <c r="L30" i="1"/>
  <c r="M30" i="1"/>
  <c r="H30" i="1"/>
  <c r="I20" i="1"/>
  <c r="J20" i="1"/>
  <c r="K20" i="1"/>
  <c r="L20" i="1"/>
  <c r="M20" i="1"/>
  <c r="H20" i="1"/>
  <c r="I31" i="4"/>
  <c r="J31" i="4"/>
  <c r="K31" i="4"/>
  <c r="L31" i="4"/>
  <c r="M31" i="4"/>
  <c r="H31" i="4"/>
  <c r="I21" i="4"/>
  <c r="J21" i="4"/>
  <c r="K21" i="4"/>
  <c r="L21" i="4"/>
  <c r="M21" i="4"/>
  <c r="H21" i="4"/>
  <c r="M9" i="4"/>
  <c r="I9" i="4"/>
  <c r="J9" i="4"/>
  <c r="K9" i="4"/>
  <c r="L9" i="4"/>
  <c r="H9" i="4"/>
</calcChain>
</file>

<file path=xl/sharedStrings.xml><?xml version="1.0" encoding="utf-8"?>
<sst xmlns="http://schemas.openxmlformats.org/spreadsheetml/2006/main" count="732" uniqueCount="32">
  <si>
    <t>Registry</t>
  </si>
  <si>
    <t>Oral</t>
  </si>
  <si>
    <t>Delhi</t>
  </si>
  <si>
    <t>1990-1994</t>
  </si>
  <si>
    <t>1995-1999</t>
  </si>
  <si>
    <t>2000-2004</t>
  </si>
  <si>
    <t>2005-2009</t>
  </si>
  <si>
    <t>2010-2014</t>
  </si>
  <si>
    <t>2015-2017</t>
  </si>
  <si>
    <t>Crude Median Age</t>
  </si>
  <si>
    <t>Adjusted Median Age</t>
  </si>
  <si>
    <t>AAIR</t>
  </si>
  <si>
    <t xml:space="preserve"> Total no. of . Cases</t>
  </si>
  <si>
    <t>Average Cases</t>
  </si>
  <si>
    <t>Population</t>
  </si>
  <si>
    <t>Bangalore</t>
  </si>
  <si>
    <t>1985-1989</t>
  </si>
  <si>
    <t>2015-2018</t>
  </si>
  <si>
    <t>Chennai</t>
  </si>
  <si>
    <t>Mumbai</t>
  </si>
  <si>
    <t>Barshi</t>
  </si>
  <si>
    <t>2015-2019</t>
  </si>
  <si>
    <t>Bhopal</t>
  </si>
  <si>
    <t>Cervix</t>
  </si>
  <si>
    <t>Breast</t>
  </si>
  <si>
    <t>All sites</t>
  </si>
  <si>
    <t xml:space="preserve"> </t>
  </si>
  <si>
    <t>Age Adjusted Median   Vs   AAIR</t>
  </si>
  <si>
    <t>Registeries</t>
  </si>
  <si>
    <t xml:space="preserve">Delhi </t>
  </si>
  <si>
    <t>Female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</si>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</sst>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1" fontId="2" fillId="0" borderId="1" xfId="0" applyNumberFormat="1" applyFont="1" applyBorder="1" applyAlignment="1">
      <alignment horizontal="right" vertical="top"/>
    </xf>
    <xf numFmtId="164" fontId="0" fillId="0" borderId="0" xfId="0" applyNumberFormat="1" applyAlignment="1">
      <alignment horizontal="right"/>
    </xf>
    <xf numFmtId="164" fontId="0" fillId="0" borderId="5" xfId="0" applyNumberFormat="1" applyBorder="1" applyAlignment="1">
      <alignment horizontal="right" vertical="center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vertical="center"/>
    </xf>
    <xf numFmtId="1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right" vertical="top"/>
    </xf>
    <xf numFmtId="164" fontId="0" fillId="0" borderId="1" xfId="0" applyNumberFormat="1" applyBorder="1"/>
    <xf numFmtId="164" fontId="0" fillId="0" borderId="5" xfId="0" applyNumberFormat="1" applyBorder="1" applyAlignment="1">
      <alignment vertical="center"/>
    </xf>
    <xf numFmtId="1" fontId="0" fillId="0" borderId="0" xfId="0" applyNumberFormat="1"/>
    <xf numFmtId="49" fontId="0" fillId="0" borderId="1" xfId="0" applyNumberForma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490B-D57E-4E2A-A7F0-F4D98D7C0E1F}">
  <dimension ref="E3:X62"/>
  <sheetViews>
    <sheetView zoomScaleNormal="100" workbookViewId="0">
      <selection activeCell="H5" sqref="H5"/>
    </sheetView>
  </sheetViews>
  <sheetFormatPr defaultRowHeight="14.4" x14ac:dyDescent="0.3"/>
  <cols>
    <col min="7" max="7" width="17.77734375" bestFit="1" customWidth="1"/>
    <col min="8" max="14" width="9.6640625" bestFit="1" customWidth="1"/>
    <col min="17" max="17" width="17.77734375" bestFit="1" customWidth="1"/>
  </cols>
  <sheetData>
    <row r="3" spans="5:23" x14ac:dyDescent="0.3">
      <c r="E3" s="43" t="s">
        <v>0</v>
      </c>
      <c r="F3" s="43"/>
      <c r="G3" s="36"/>
      <c r="H3" s="36" t="s">
        <v>1</v>
      </c>
      <c r="I3" s="36"/>
      <c r="J3" s="36"/>
      <c r="K3" s="36"/>
      <c r="L3" s="36"/>
      <c r="M3" s="36"/>
    </row>
    <row r="4" spans="5:23" x14ac:dyDescent="0.3">
      <c r="E4" s="44" t="s">
        <v>2</v>
      </c>
      <c r="F4" s="44"/>
      <c r="G4" s="36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Q4" s="36"/>
      <c r="R4" s="36" t="s">
        <v>1</v>
      </c>
      <c r="S4" s="36"/>
      <c r="T4" s="36"/>
      <c r="U4" s="36"/>
      <c r="V4" s="36"/>
      <c r="W4" s="36"/>
    </row>
    <row r="5" spans="5:23" x14ac:dyDescent="0.3">
      <c r="E5" s="44"/>
      <c r="F5" s="44"/>
      <c r="G5" s="2" t="s">
        <v>9</v>
      </c>
      <c r="H5" s="4">
        <v>55</v>
      </c>
      <c r="I5" s="3">
        <v>55</v>
      </c>
      <c r="J5" s="3">
        <v>54</v>
      </c>
      <c r="K5" s="3">
        <v>58</v>
      </c>
      <c r="L5" s="3">
        <v>57</v>
      </c>
      <c r="M5" s="3">
        <v>58</v>
      </c>
      <c r="Q5" s="36"/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</row>
    <row r="6" spans="5:23" x14ac:dyDescent="0.3">
      <c r="E6" s="44"/>
      <c r="F6" s="44"/>
      <c r="G6" s="2" t="s">
        <v>10</v>
      </c>
      <c r="H6" s="4">
        <v>58.384077845145761</v>
      </c>
      <c r="I6" s="4">
        <v>59.140811095658073</v>
      </c>
      <c r="J6" s="4">
        <v>56.887055683765929</v>
      </c>
      <c r="K6" s="4">
        <v>60.267584642118059</v>
      </c>
      <c r="L6" s="4">
        <v>60</v>
      </c>
      <c r="M6" s="4">
        <v>59</v>
      </c>
      <c r="O6">
        <f>CORREL(H6:M6,H9:M9)</f>
        <v>0.59304591830799813</v>
      </c>
      <c r="Q6" s="2" t="s">
        <v>10</v>
      </c>
      <c r="R6" s="4">
        <v>58.384077845145761</v>
      </c>
      <c r="S6" s="4">
        <v>59.140811095658073</v>
      </c>
      <c r="T6" s="4">
        <v>56.887055683765929</v>
      </c>
      <c r="U6" s="4">
        <v>60.267584642118059</v>
      </c>
      <c r="V6" s="4">
        <v>60</v>
      </c>
      <c r="W6" s="4">
        <v>59</v>
      </c>
    </row>
    <row r="7" spans="5:23" x14ac:dyDescent="0.3">
      <c r="E7" s="44"/>
      <c r="F7" s="44"/>
      <c r="G7" s="2" t="s">
        <v>12</v>
      </c>
      <c r="H7" s="3">
        <v>528</v>
      </c>
      <c r="I7" s="3">
        <v>600</v>
      </c>
      <c r="J7" s="3">
        <v>699</v>
      </c>
      <c r="K7" s="3">
        <v>1102</v>
      </c>
      <c r="L7" s="3">
        <v>1870</v>
      </c>
      <c r="M7" s="14">
        <v>1233</v>
      </c>
    </row>
    <row r="8" spans="5:23" x14ac:dyDescent="0.3">
      <c r="E8" s="44"/>
      <c r="F8" s="44"/>
      <c r="G8" s="2" t="s">
        <v>13</v>
      </c>
      <c r="H8" s="4">
        <f>H7/5</f>
        <v>105.6</v>
      </c>
      <c r="I8" s="4">
        <f t="shared" ref="I8:L8" si="0">I7/5</f>
        <v>120</v>
      </c>
      <c r="J8" s="4">
        <f t="shared" si="0"/>
        <v>139.80000000000001</v>
      </c>
      <c r="K8" s="4">
        <f t="shared" si="0"/>
        <v>220.4</v>
      </c>
      <c r="L8" s="4">
        <f t="shared" si="0"/>
        <v>374</v>
      </c>
      <c r="M8" s="4">
        <f>M7/3</f>
        <v>411</v>
      </c>
    </row>
    <row r="9" spans="5:23" x14ac:dyDescent="0.3">
      <c r="E9" s="44"/>
      <c r="F9" s="44"/>
      <c r="G9" s="2" t="s">
        <v>11</v>
      </c>
      <c r="H9" s="5">
        <v>3.4717916041497077</v>
      </c>
      <c r="I9" s="5">
        <v>3.0529451632984022</v>
      </c>
      <c r="J9" s="5">
        <v>2.7098817687413708</v>
      </c>
      <c r="K9" s="5">
        <v>3.4072792802947895</v>
      </c>
      <c r="L9" s="5">
        <v>4.6061686806960704</v>
      </c>
      <c r="M9" s="5">
        <v>4.3116103888257227</v>
      </c>
    </row>
    <row r="10" spans="5:23" x14ac:dyDescent="0.3">
      <c r="E10" s="44"/>
      <c r="F10" s="44"/>
      <c r="G10" s="2" t="s">
        <v>14</v>
      </c>
      <c r="H10" s="6">
        <v>20339480</v>
      </c>
      <c r="I10" s="6">
        <v>25032468</v>
      </c>
      <c r="J10" s="6">
        <v>30126564</v>
      </c>
      <c r="K10" s="6">
        <v>34506788</v>
      </c>
      <c r="L10" s="6">
        <v>39450421</v>
      </c>
      <c r="M10" s="6">
        <v>26333772</v>
      </c>
    </row>
    <row r="11" spans="5:23" x14ac:dyDescent="0.3">
      <c r="H11" s="7"/>
      <c r="I11" s="7"/>
      <c r="J11" s="7"/>
      <c r="K11" s="7"/>
      <c r="L11" s="7"/>
      <c r="M11" s="7"/>
    </row>
    <row r="15" spans="5:23" x14ac:dyDescent="0.3">
      <c r="E15" s="43" t="s">
        <v>0</v>
      </c>
      <c r="F15" s="43"/>
      <c r="G15" s="36"/>
      <c r="H15" s="36" t="s">
        <v>1</v>
      </c>
      <c r="I15" s="36"/>
      <c r="J15" s="36"/>
      <c r="K15" s="36"/>
      <c r="L15" s="36"/>
      <c r="M15" s="36"/>
      <c r="Q15" s="36"/>
      <c r="R15" s="36" t="s">
        <v>1</v>
      </c>
      <c r="S15" s="36"/>
      <c r="T15" s="36"/>
      <c r="U15" s="36"/>
      <c r="V15" s="36"/>
      <c r="W15" s="36"/>
    </row>
    <row r="16" spans="5:23" x14ac:dyDescent="0.3">
      <c r="E16" s="44" t="s">
        <v>20</v>
      </c>
      <c r="F16" s="44"/>
      <c r="G16" s="36"/>
      <c r="H16" s="1" t="s">
        <v>3</v>
      </c>
      <c r="I16" s="1" t="s">
        <v>4</v>
      </c>
      <c r="J16" s="1" t="s">
        <v>5</v>
      </c>
      <c r="K16" s="1" t="s">
        <v>6</v>
      </c>
      <c r="L16" s="1" t="s">
        <v>7</v>
      </c>
      <c r="M16" s="1" t="s">
        <v>21</v>
      </c>
      <c r="Q16" s="36"/>
      <c r="R16" s="1" t="s">
        <v>3</v>
      </c>
      <c r="S16" s="1" t="s">
        <v>4</v>
      </c>
      <c r="T16" s="1" t="s">
        <v>5</v>
      </c>
      <c r="U16" s="1" t="s">
        <v>6</v>
      </c>
      <c r="V16" s="1" t="s">
        <v>7</v>
      </c>
      <c r="W16" s="1" t="s">
        <v>21</v>
      </c>
    </row>
    <row r="17" spans="5:23" x14ac:dyDescent="0.3">
      <c r="E17" s="44"/>
      <c r="F17" s="44"/>
      <c r="G17" s="2" t="s">
        <v>9</v>
      </c>
      <c r="H17" s="4">
        <v>50</v>
      </c>
      <c r="I17" s="3">
        <v>57</v>
      </c>
      <c r="J17" s="3">
        <v>65</v>
      </c>
      <c r="K17" s="3">
        <v>62</v>
      </c>
      <c r="L17" s="3">
        <v>55</v>
      </c>
      <c r="M17" s="3">
        <v>55</v>
      </c>
      <c r="Q17" s="2" t="s">
        <v>10</v>
      </c>
      <c r="R17" s="23">
        <v>52.033717476422893</v>
      </c>
      <c r="S17" s="23">
        <v>54.038334270128345</v>
      </c>
      <c r="T17" s="23">
        <v>55.886466703456435</v>
      </c>
      <c r="U17" s="23">
        <v>62.329772263648557</v>
      </c>
      <c r="V17" s="23">
        <v>51.640803537959634</v>
      </c>
      <c r="W17" s="23">
        <v>55.396816435308011</v>
      </c>
    </row>
    <row r="18" spans="5:23" x14ac:dyDescent="0.3">
      <c r="E18" s="44"/>
      <c r="F18" s="44"/>
      <c r="G18" s="2" t="s">
        <v>10</v>
      </c>
      <c r="H18" s="23">
        <v>52.033717476422893</v>
      </c>
      <c r="I18" s="23">
        <v>54.038334270128345</v>
      </c>
      <c r="J18" s="23">
        <v>55.886466703456435</v>
      </c>
      <c r="K18" s="23">
        <v>62.329772263648557</v>
      </c>
      <c r="L18" s="23">
        <v>51.640803537959634</v>
      </c>
      <c r="M18" s="23">
        <v>55.396816435308011</v>
      </c>
    </row>
    <row r="19" spans="5:23" x14ac:dyDescent="0.3">
      <c r="E19" s="44"/>
      <c r="F19" s="44"/>
      <c r="G19" s="2" t="s">
        <v>12</v>
      </c>
      <c r="H19" s="14">
        <v>11</v>
      </c>
      <c r="I19" s="14">
        <v>22</v>
      </c>
      <c r="J19" s="14">
        <v>24</v>
      </c>
      <c r="K19" s="14">
        <v>15</v>
      </c>
      <c r="L19" s="14">
        <v>30</v>
      </c>
      <c r="M19" s="14">
        <v>40</v>
      </c>
      <c r="O19">
        <f>CORREL(H18:M18,H21:M21)</f>
        <v>-0.24389647984309504</v>
      </c>
    </row>
    <row r="20" spans="5:23" x14ac:dyDescent="0.3">
      <c r="E20" s="44"/>
      <c r="F20" s="44"/>
      <c r="G20" s="2" t="s">
        <v>13</v>
      </c>
      <c r="H20" s="23">
        <f>H19/5</f>
        <v>2.2000000000000002</v>
      </c>
      <c r="I20" s="23">
        <f t="shared" ref="I20:M20" si="1">I19/5</f>
        <v>4.4000000000000004</v>
      </c>
      <c r="J20" s="23">
        <f t="shared" si="1"/>
        <v>4.8</v>
      </c>
      <c r="K20" s="23">
        <f t="shared" si="1"/>
        <v>3</v>
      </c>
      <c r="L20" s="23">
        <f t="shared" si="1"/>
        <v>6</v>
      </c>
      <c r="M20" s="23">
        <f t="shared" si="1"/>
        <v>8</v>
      </c>
    </row>
    <row r="21" spans="5:23" x14ac:dyDescent="0.3">
      <c r="E21" s="44"/>
      <c r="F21" s="44"/>
      <c r="G21" s="2" t="s">
        <v>11</v>
      </c>
      <c r="H21" s="25">
        <v>0.99458308422987229</v>
      </c>
      <c r="I21" s="25">
        <v>1.6932039471238745</v>
      </c>
      <c r="J21" s="25">
        <v>2.173989842032463</v>
      </c>
      <c r="K21" s="12">
        <v>1.3246658971829655</v>
      </c>
      <c r="L21" s="25">
        <v>2.4424261208209246</v>
      </c>
      <c r="M21" s="25">
        <v>2.1869156422844029</v>
      </c>
    </row>
    <row r="22" spans="5:23" x14ac:dyDescent="0.3">
      <c r="E22" s="44"/>
      <c r="F22" s="44"/>
      <c r="G22" s="2" t="s">
        <v>14</v>
      </c>
      <c r="H22" s="14">
        <v>1100448</v>
      </c>
      <c r="I22" s="24">
        <v>1149747</v>
      </c>
      <c r="J22" s="24">
        <v>1103961</v>
      </c>
      <c r="K22" s="24">
        <v>1132361</v>
      </c>
      <c r="L22" s="24">
        <v>1187344</v>
      </c>
      <c r="M22" s="24">
        <v>1244995</v>
      </c>
      <c r="P22" t="s">
        <v>26</v>
      </c>
    </row>
    <row r="25" spans="5:23" x14ac:dyDescent="0.3">
      <c r="E25" s="43" t="s">
        <v>0</v>
      </c>
      <c r="F25" s="43"/>
      <c r="G25" s="36"/>
      <c r="H25" s="36" t="s">
        <v>1</v>
      </c>
      <c r="I25" s="36"/>
      <c r="J25" s="36"/>
      <c r="K25" s="36"/>
      <c r="L25" s="36"/>
      <c r="M25" s="36"/>
    </row>
    <row r="26" spans="5:23" x14ac:dyDescent="0.3">
      <c r="E26" s="44" t="s">
        <v>22</v>
      </c>
      <c r="F26" s="44"/>
      <c r="G26" s="36"/>
      <c r="H26" s="1" t="s">
        <v>3</v>
      </c>
      <c r="I26" s="1" t="s">
        <v>4</v>
      </c>
      <c r="J26" s="1" t="s">
        <v>5</v>
      </c>
      <c r="K26" s="1" t="s">
        <v>6</v>
      </c>
      <c r="L26" s="1" t="s">
        <v>7</v>
      </c>
      <c r="M26" s="1" t="s">
        <v>21</v>
      </c>
      <c r="Q26" s="36"/>
      <c r="R26" s="36" t="s">
        <v>1</v>
      </c>
      <c r="S26" s="36"/>
      <c r="T26" s="36"/>
      <c r="U26" s="36"/>
      <c r="V26" s="36"/>
      <c r="W26" s="36"/>
    </row>
    <row r="27" spans="5:23" x14ac:dyDescent="0.3">
      <c r="E27" s="44"/>
      <c r="F27" s="44"/>
      <c r="G27" s="2" t="s">
        <v>9</v>
      </c>
      <c r="H27" s="4">
        <v>60</v>
      </c>
      <c r="I27" s="3">
        <v>55</v>
      </c>
      <c r="J27" s="3">
        <v>60</v>
      </c>
      <c r="K27" s="3">
        <v>55</v>
      </c>
      <c r="L27" s="3">
        <v>55</v>
      </c>
      <c r="M27" s="3">
        <v>55</v>
      </c>
      <c r="Q27" s="36"/>
      <c r="R27" s="1" t="s">
        <v>3</v>
      </c>
      <c r="S27" s="1" t="s">
        <v>4</v>
      </c>
      <c r="T27" s="1" t="s">
        <v>5</v>
      </c>
      <c r="U27" s="1" t="s">
        <v>6</v>
      </c>
      <c r="V27" s="1" t="s">
        <v>7</v>
      </c>
      <c r="W27" s="1" t="s">
        <v>21</v>
      </c>
    </row>
    <row r="28" spans="5:23" x14ac:dyDescent="0.3">
      <c r="E28" s="44"/>
      <c r="F28" s="44"/>
      <c r="G28" s="2" t="s">
        <v>10</v>
      </c>
      <c r="H28" s="4">
        <v>61.277300069421123</v>
      </c>
      <c r="I28" s="23">
        <v>57.597388743655266</v>
      </c>
      <c r="J28" s="4">
        <v>61.330384664084193</v>
      </c>
      <c r="K28" s="4">
        <v>58.492832775610374</v>
      </c>
      <c r="L28" s="4">
        <v>57.843118221901051</v>
      </c>
      <c r="M28" s="4">
        <v>56.261924701551152</v>
      </c>
      <c r="O28">
        <f>CORREL(H28:M28,H31:M31)</f>
        <v>-0.75929939502840371</v>
      </c>
      <c r="Q28" s="2" t="s">
        <v>10</v>
      </c>
      <c r="R28" s="4">
        <v>61.277300069421123</v>
      </c>
      <c r="S28" s="23">
        <v>57.597388743655266</v>
      </c>
      <c r="T28" s="4">
        <v>61.330384664084193</v>
      </c>
      <c r="U28" s="4">
        <v>58.492832775610374</v>
      </c>
      <c r="V28" s="4">
        <v>57.843118221901051</v>
      </c>
      <c r="W28" s="4">
        <v>56.261924701551152</v>
      </c>
    </row>
    <row r="29" spans="5:23" x14ac:dyDescent="0.3">
      <c r="E29" s="44"/>
      <c r="F29" s="44"/>
      <c r="G29" s="2" t="s">
        <v>12</v>
      </c>
      <c r="H29" s="14">
        <v>88</v>
      </c>
      <c r="I29" s="14">
        <v>138</v>
      </c>
      <c r="J29" s="14">
        <v>180</v>
      </c>
      <c r="K29" s="14">
        <v>221</v>
      </c>
      <c r="L29" s="14">
        <v>350</v>
      </c>
      <c r="M29" s="14">
        <v>489</v>
      </c>
    </row>
    <row r="30" spans="5:23" x14ac:dyDescent="0.3">
      <c r="E30" s="44"/>
      <c r="F30" s="44"/>
      <c r="G30" s="2" t="s">
        <v>13</v>
      </c>
      <c r="H30" s="23">
        <f>H29/5</f>
        <v>17.600000000000001</v>
      </c>
      <c r="I30" s="23">
        <f t="shared" ref="I30:M30" si="2">I29/5</f>
        <v>27.6</v>
      </c>
      <c r="J30" s="23">
        <f t="shared" si="2"/>
        <v>36</v>
      </c>
      <c r="K30" s="23">
        <f t="shared" si="2"/>
        <v>44.2</v>
      </c>
      <c r="L30" s="23">
        <f t="shared" si="2"/>
        <v>70</v>
      </c>
      <c r="M30" s="23">
        <f t="shared" si="2"/>
        <v>97.8</v>
      </c>
    </row>
    <row r="31" spans="5:23" x14ac:dyDescent="0.3">
      <c r="E31" s="44"/>
      <c r="F31" s="44"/>
      <c r="G31" s="2" t="s">
        <v>11</v>
      </c>
      <c r="H31" s="25">
        <v>4.9121306036353971</v>
      </c>
      <c r="I31" s="25">
        <v>5.832962802173089</v>
      </c>
      <c r="J31" s="25">
        <v>5.9400432539675734</v>
      </c>
      <c r="K31" s="12">
        <v>5.7497852258819915</v>
      </c>
      <c r="L31" s="25">
        <v>7.2141486015547249</v>
      </c>
      <c r="M31" s="25">
        <v>8.2265304951423879</v>
      </c>
    </row>
    <row r="32" spans="5:23" x14ac:dyDescent="0.3">
      <c r="E32" s="44"/>
      <c r="F32" s="44"/>
      <c r="G32" s="2" t="s">
        <v>14</v>
      </c>
      <c r="H32" s="11">
        <v>2658384</v>
      </c>
      <c r="I32" s="11">
        <v>3123604</v>
      </c>
      <c r="J32" s="11">
        <v>3636214</v>
      </c>
      <c r="K32" s="11">
        <v>4164525</v>
      </c>
      <c r="L32" s="24">
        <v>4766691</v>
      </c>
      <c r="M32" s="11">
        <v>5455919</v>
      </c>
    </row>
    <row r="35" spans="5:24" x14ac:dyDescent="0.3">
      <c r="E35" s="43" t="s">
        <v>0</v>
      </c>
      <c r="F35" s="43"/>
      <c r="G35" s="36"/>
      <c r="H35" s="31" t="s">
        <v>1</v>
      </c>
      <c r="I35" s="32"/>
      <c r="J35" s="32"/>
      <c r="K35" s="32"/>
      <c r="L35" s="32"/>
      <c r="M35" s="32"/>
      <c r="N35" s="33"/>
    </row>
    <row r="36" spans="5:24" x14ac:dyDescent="0.3">
      <c r="E36" s="44" t="s">
        <v>15</v>
      </c>
      <c r="F36" s="44"/>
      <c r="G36" s="36"/>
      <c r="H36" s="8" t="s">
        <v>16</v>
      </c>
      <c r="I36" s="1" t="s">
        <v>3</v>
      </c>
      <c r="J36" s="1" t="s">
        <v>4</v>
      </c>
      <c r="K36" s="1" t="s">
        <v>5</v>
      </c>
      <c r="L36" s="1" t="s">
        <v>6</v>
      </c>
      <c r="M36" s="1" t="s">
        <v>7</v>
      </c>
      <c r="N36" s="1" t="s">
        <v>17</v>
      </c>
    </row>
    <row r="37" spans="5:24" x14ac:dyDescent="0.3">
      <c r="E37" s="44"/>
      <c r="F37" s="44"/>
      <c r="G37" s="2" t="s">
        <v>9</v>
      </c>
      <c r="H37" s="2">
        <v>55</v>
      </c>
      <c r="I37" s="15">
        <v>55</v>
      </c>
      <c r="J37" s="2">
        <v>55</v>
      </c>
      <c r="K37" s="2">
        <v>58</v>
      </c>
      <c r="L37" s="2">
        <v>59</v>
      </c>
      <c r="M37" s="2">
        <v>60</v>
      </c>
      <c r="N37" s="2">
        <v>60</v>
      </c>
      <c r="Q37" s="36"/>
      <c r="R37" s="31" t="s">
        <v>1</v>
      </c>
      <c r="S37" s="32"/>
      <c r="T37" s="32"/>
      <c r="U37" s="32"/>
      <c r="V37" s="32"/>
      <c r="W37" s="32"/>
      <c r="X37" s="33"/>
    </row>
    <row r="38" spans="5:24" x14ac:dyDescent="0.3">
      <c r="E38" s="44"/>
      <c r="F38" s="44"/>
      <c r="G38" s="2" t="s">
        <v>10</v>
      </c>
      <c r="H38" s="15">
        <v>58.553919417992702</v>
      </c>
      <c r="I38" s="15">
        <v>59.046703891052097</v>
      </c>
      <c r="J38" s="15">
        <v>60.05217088810415</v>
      </c>
      <c r="K38" s="15">
        <v>60.794366262031801</v>
      </c>
      <c r="L38" s="15">
        <v>60.785329059496355</v>
      </c>
      <c r="M38" s="15">
        <v>62.268420036049235</v>
      </c>
      <c r="N38" s="15">
        <v>62.272387148735</v>
      </c>
      <c r="P38">
        <f>CORREL(H38:N38,H41:N41)</f>
        <v>-0.68765660555811159</v>
      </c>
      <c r="Q38" s="36"/>
      <c r="R38" s="8" t="s">
        <v>16</v>
      </c>
      <c r="S38" s="1" t="s">
        <v>3</v>
      </c>
      <c r="T38" s="1" t="s">
        <v>4</v>
      </c>
      <c r="U38" s="1" t="s">
        <v>5</v>
      </c>
      <c r="V38" s="1" t="s">
        <v>6</v>
      </c>
      <c r="W38" s="1" t="s">
        <v>7</v>
      </c>
      <c r="X38" s="1" t="s">
        <v>17</v>
      </c>
    </row>
    <row r="39" spans="5:24" x14ac:dyDescent="0.3">
      <c r="E39" s="44"/>
      <c r="F39" s="44"/>
      <c r="G39" s="2" t="s">
        <v>12</v>
      </c>
      <c r="H39" s="2">
        <v>542</v>
      </c>
      <c r="I39" s="2">
        <v>587</v>
      </c>
      <c r="J39" s="2">
        <v>575</v>
      </c>
      <c r="K39" s="2">
        <v>674</v>
      </c>
      <c r="L39" s="2">
        <v>919</v>
      </c>
      <c r="M39" s="2">
        <v>1200</v>
      </c>
      <c r="N39" s="2">
        <v>1296</v>
      </c>
      <c r="Q39" s="2" t="s">
        <v>10</v>
      </c>
      <c r="R39" s="15">
        <v>58.553919417992702</v>
      </c>
      <c r="S39" s="15">
        <v>59.046703891052097</v>
      </c>
      <c r="T39" s="15">
        <v>60.05217088810415</v>
      </c>
      <c r="U39" s="15">
        <v>60.794366262031801</v>
      </c>
      <c r="V39" s="15">
        <v>60.785329059496355</v>
      </c>
      <c r="W39" s="15">
        <v>62.268420036049235</v>
      </c>
      <c r="X39" s="15">
        <v>62.272387148735</v>
      </c>
    </row>
    <row r="40" spans="5:24" x14ac:dyDescent="0.3">
      <c r="E40" s="44"/>
      <c r="F40" s="44"/>
      <c r="G40" s="2" t="s">
        <v>13</v>
      </c>
      <c r="H40" s="2">
        <f>H39/5</f>
        <v>108.4</v>
      </c>
      <c r="I40" s="2">
        <f t="shared" ref="I40" si="3">I39/5</f>
        <v>117.4</v>
      </c>
      <c r="J40" s="2">
        <f t="shared" ref="J40" si="4">J39/5</f>
        <v>115</v>
      </c>
      <c r="K40" s="2">
        <f t="shared" ref="K40" si="5">K39/5</f>
        <v>134.80000000000001</v>
      </c>
      <c r="L40" s="2">
        <f t="shared" ref="L40" si="6">L39/5</f>
        <v>183.8</v>
      </c>
      <c r="M40" s="2">
        <f t="shared" ref="M40" si="7">M39/5</f>
        <v>240</v>
      </c>
      <c r="N40" s="2">
        <f t="shared" ref="N40" si="8">N39/5</f>
        <v>259.2</v>
      </c>
    </row>
    <row r="41" spans="5:24" x14ac:dyDescent="0.3">
      <c r="E41" s="44"/>
      <c r="F41" s="44"/>
      <c r="G41" s="2" t="s">
        <v>11</v>
      </c>
      <c r="H41" s="19">
        <v>8.0380179372986102</v>
      </c>
      <c r="I41" s="19">
        <v>7.1849694169234866</v>
      </c>
      <c r="J41" s="19">
        <v>5.6389115668114433</v>
      </c>
      <c r="K41" s="19">
        <v>5.2304038270800746</v>
      </c>
      <c r="L41" s="19">
        <v>5.4914398268924609</v>
      </c>
      <c r="M41" s="20">
        <v>5.6907063862837068</v>
      </c>
      <c r="N41" s="19">
        <v>6.2049890446651963</v>
      </c>
    </row>
    <row r="42" spans="5:24" x14ac:dyDescent="0.3">
      <c r="E42" s="44"/>
      <c r="F42" s="44"/>
      <c r="G42" s="2" t="s">
        <v>14</v>
      </c>
      <c r="H42" s="21">
        <v>8966108</v>
      </c>
      <c r="I42" s="21">
        <v>10336582</v>
      </c>
      <c r="J42" s="21">
        <v>12122651</v>
      </c>
      <c r="K42" s="21">
        <v>14261397</v>
      </c>
      <c r="L42" s="21">
        <v>17029916</v>
      </c>
      <c r="M42" s="16">
        <v>20360277</v>
      </c>
      <c r="N42" s="21">
        <v>19119658</v>
      </c>
    </row>
    <row r="45" spans="5:24" x14ac:dyDescent="0.3">
      <c r="E45" s="43" t="s">
        <v>0</v>
      </c>
      <c r="F45" s="43"/>
      <c r="G45" s="36"/>
      <c r="H45" s="31" t="s">
        <v>1</v>
      </c>
      <c r="I45" s="32"/>
      <c r="J45" s="32"/>
      <c r="K45" s="32"/>
      <c r="L45" s="32"/>
      <c r="M45" s="32"/>
      <c r="N45" s="33"/>
    </row>
    <row r="46" spans="5:24" x14ac:dyDescent="0.3">
      <c r="E46" s="44" t="s">
        <v>18</v>
      </c>
      <c r="F46" s="44"/>
      <c r="G46" s="36"/>
      <c r="H46" s="8" t="s">
        <v>16</v>
      </c>
      <c r="I46" s="1" t="s">
        <v>3</v>
      </c>
      <c r="J46" s="1" t="s">
        <v>4</v>
      </c>
      <c r="K46" s="1" t="s">
        <v>5</v>
      </c>
      <c r="L46" s="1" t="s">
        <v>6</v>
      </c>
      <c r="M46" s="1" t="s">
        <v>7</v>
      </c>
      <c r="N46" s="1" t="s">
        <v>17</v>
      </c>
    </row>
    <row r="47" spans="5:24" x14ac:dyDescent="0.3">
      <c r="E47" s="44"/>
      <c r="F47" s="44"/>
      <c r="G47" s="2" t="s">
        <v>9</v>
      </c>
      <c r="H47" s="2">
        <v>54</v>
      </c>
      <c r="I47" s="15">
        <v>55</v>
      </c>
      <c r="J47" s="2">
        <v>58</v>
      </c>
      <c r="K47" s="2">
        <v>60</v>
      </c>
      <c r="L47" s="2">
        <v>60</v>
      </c>
      <c r="M47" s="2">
        <v>60</v>
      </c>
      <c r="N47" s="2">
        <v>59</v>
      </c>
      <c r="Q47" s="36"/>
      <c r="R47" s="31" t="s">
        <v>1</v>
      </c>
      <c r="S47" s="32"/>
      <c r="T47" s="32"/>
      <c r="U47" s="32"/>
      <c r="V47" s="32"/>
      <c r="W47" s="32"/>
      <c r="X47" s="33"/>
    </row>
    <row r="48" spans="5:24" x14ac:dyDescent="0.3">
      <c r="E48" s="44"/>
      <c r="F48" s="44"/>
      <c r="G48" s="2" t="s">
        <v>10</v>
      </c>
      <c r="H48" s="15">
        <v>58</v>
      </c>
      <c r="I48" s="15">
        <v>60</v>
      </c>
      <c r="J48" s="15">
        <v>61</v>
      </c>
      <c r="K48" s="15">
        <v>62</v>
      </c>
      <c r="L48" s="15">
        <v>62</v>
      </c>
      <c r="M48" s="15">
        <v>61</v>
      </c>
      <c r="N48" s="15">
        <v>61</v>
      </c>
      <c r="Q48" s="36"/>
      <c r="R48" s="8" t="s">
        <v>16</v>
      </c>
      <c r="S48" s="1" t="s">
        <v>3</v>
      </c>
      <c r="T48" s="1" t="s">
        <v>4</v>
      </c>
      <c r="U48" s="1" t="s">
        <v>5</v>
      </c>
      <c r="V48" s="1" t="s">
        <v>6</v>
      </c>
      <c r="W48" s="1" t="s">
        <v>7</v>
      </c>
      <c r="X48" s="1" t="s">
        <v>17</v>
      </c>
    </row>
    <row r="49" spans="5:24" x14ac:dyDescent="0.3">
      <c r="E49" s="44"/>
      <c r="F49" s="44"/>
      <c r="G49" s="2" t="s">
        <v>12</v>
      </c>
      <c r="H49" s="22">
        <v>585</v>
      </c>
      <c r="I49" s="22">
        <v>572</v>
      </c>
      <c r="J49" s="22">
        <v>534</v>
      </c>
      <c r="K49" s="22">
        <v>652</v>
      </c>
      <c r="L49" s="22">
        <v>670</v>
      </c>
      <c r="M49" s="22">
        <v>769</v>
      </c>
      <c r="N49" s="22">
        <v>670</v>
      </c>
      <c r="P49">
        <f>CORREL(H48:N48,H51:N51)</f>
        <v>-0.88457133049192571</v>
      </c>
      <c r="Q49" s="2" t="s">
        <v>10</v>
      </c>
      <c r="R49" s="15">
        <v>58</v>
      </c>
      <c r="S49" s="15">
        <v>60</v>
      </c>
      <c r="T49" s="15">
        <v>61</v>
      </c>
      <c r="U49" s="15">
        <v>62</v>
      </c>
      <c r="V49" s="15">
        <v>62</v>
      </c>
      <c r="W49" s="15">
        <v>61</v>
      </c>
      <c r="X49" s="15">
        <v>61</v>
      </c>
    </row>
    <row r="50" spans="5:24" x14ac:dyDescent="0.3">
      <c r="E50" s="44"/>
      <c r="F50" s="44"/>
      <c r="G50" s="2" t="s">
        <v>13</v>
      </c>
      <c r="H50" s="2">
        <f>H49/5</f>
        <v>117</v>
      </c>
      <c r="I50" s="2">
        <f t="shared" ref="I50" si="9">I49/5</f>
        <v>114.4</v>
      </c>
      <c r="J50" s="2">
        <f t="shared" ref="J50" si="10">J49/5</f>
        <v>106.8</v>
      </c>
      <c r="K50" s="2">
        <f t="shared" ref="K50" si="11">K49/5</f>
        <v>130.4</v>
      </c>
      <c r="L50" s="2">
        <f t="shared" ref="L50" si="12">L49/5</f>
        <v>134</v>
      </c>
      <c r="M50" s="2">
        <f t="shared" ref="M50" si="13">M49/5</f>
        <v>153.80000000000001</v>
      </c>
      <c r="N50" s="2">
        <f>N49/4</f>
        <v>167.5</v>
      </c>
    </row>
    <row r="51" spans="5:24" x14ac:dyDescent="0.3">
      <c r="E51" s="44"/>
      <c r="F51" s="44"/>
      <c r="G51" s="2" t="s">
        <v>11</v>
      </c>
      <c r="H51" s="27">
        <v>7.4193215879727807</v>
      </c>
      <c r="I51" s="19">
        <v>6.3777613268606235</v>
      </c>
      <c r="J51" s="19">
        <v>5.1518902034687946</v>
      </c>
      <c r="K51" s="19">
        <v>5.5096254350753968</v>
      </c>
      <c r="L51" s="19">
        <v>4.924541945180704</v>
      </c>
      <c r="M51" s="19">
        <v>5.0006534584633835</v>
      </c>
      <c r="N51" s="19">
        <v>4.8836553573265302</v>
      </c>
    </row>
    <row r="52" spans="5:24" x14ac:dyDescent="0.3">
      <c r="E52" s="44"/>
      <c r="F52" s="44"/>
      <c r="G52" s="2" t="s">
        <v>14</v>
      </c>
      <c r="H52" s="17">
        <v>8752703</v>
      </c>
      <c r="I52" s="22">
        <v>9443423</v>
      </c>
      <c r="J52" s="22">
        <v>10107968</v>
      </c>
      <c r="K52" s="22">
        <v>10734123</v>
      </c>
      <c r="L52" s="22">
        <v>11203632</v>
      </c>
      <c r="M52" s="22">
        <v>11685846</v>
      </c>
      <c r="N52" s="22">
        <v>9709793</v>
      </c>
    </row>
    <row r="55" spans="5:24" x14ac:dyDescent="0.3">
      <c r="E55" s="43" t="s">
        <v>0</v>
      </c>
      <c r="F55" s="43"/>
      <c r="G55" s="36"/>
      <c r="H55" s="31" t="s">
        <v>1</v>
      </c>
      <c r="I55" s="32"/>
      <c r="J55" s="32"/>
      <c r="K55" s="32"/>
      <c r="L55" s="32"/>
      <c r="M55" s="32"/>
      <c r="N55" s="33"/>
    </row>
    <row r="56" spans="5:24" x14ac:dyDescent="0.3">
      <c r="E56" s="44" t="s">
        <v>19</v>
      </c>
      <c r="F56" s="44"/>
      <c r="G56" s="36"/>
      <c r="H56" s="8" t="s">
        <v>16</v>
      </c>
      <c r="I56" s="1" t="s">
        <v>3</v>
      </c>
      <c r="J56" s="1" t="s">
        <v>4</v>
      </c>
      <c r="K56" s="1" t="s">
        <v>5</v>
      </c>
      <c r="L56" s="1" t="s">
        <v>6</v>
      </c>
      <c r="M56" s="1" t="s">
        <v>7</v>
      </c>
      <c r="N56" s="1" t="s">
        <v>17</v>
      </c>
      <c r="Q56" s="36"/>
      <c r="R56" s="31" t="s">
        <v>1</v>
      </c>
      <c r="S56" s="32"/>
      <c r="T56" s="32"/>
      <c r="U56" s="32"/>
      <c r="V56" s="32"/>
      <c r="W56" s="32"/>
      <c r="X56" s="33"/>
    </row>
    <row r="57" spans="5:24" x14ac:dyDescent="0.3">
      <c r="E57" s="44"/>
      <c r="F57" s="44"/>
      <c r="G57" s="2" t="s">
        <v>9</v>
      </c>
      <c r="H57" s="3">
        <v>55</v>
      </c>
      <c r="I57" s="3">
        <v>55</v>
      </c>
      <c r="J57" s="3">
        <v>55</v>
      </c>
      <c r="K57" s="3">
        <v>56</v>
      </c>
      <c r="L57" s="3">
        <v>56</v>
      </c>
      <c r="M57" s="3">
        <v>59</v>
      </c>
      <c r="N57" s="3">
        <v>59</v>
      </c>
      <c r="Q57" s="36"/>
      <c r="R57" s="8" t="s">
        <v>16</v>
      </c>
      <c r="S57" s="1" t="s">
        <v>3</v>
      </c>
      <c r="T57" s="1" t="s">
        <v>4</v>
      </c>
      <c r="U57" s="1" t="s">
        <v>5</v>
      </c>
      <c r="V57" s="1" t="s">
        <v>6</v>
      </c>
      <c r="W57" s="1" t="s">
        <v>7</v>
      </c>
      <c r="X57" s="1" t="s">
        <v>17</v>
      </c>
    </row>
    <row r="58" spans="5:24" x14ac:dyDescent="0.3">
      <c r="E58" s="44"/>
      <c r="F58" s="44"/>
      <c r="G58" s="2" t="s">
        <v>10</v>
      </c>
      <c r="H58" s="4">
        <v>58.553919417992702</v>
      </c>
      <c r="I58" s="4">
        <v>59.674406191143234</v>
      </c>
      <c r="J58" s="4">
        <v>59.161148946333014</v>
      </c>
      <c r="K58" s="4">
        <v>60.312377066784805</v>
      </c>
      <c r="L58" s="4">
        <v>59</v>
      </c>
      <c r="M58" s="4">
        <v>60.022509024418298</v>
      </c>
      <c r="N58" s="4">
        <v>59.688620148032797</v>
      </c>
      <c r="P58">
        <f>CORREL(H58:N58,H61:N61)</f>
        <v>0.49171814048313828</v>
      </c>
      <c r="Q58" s="2" t="s">
        <v>10</v>
      </c>
      <c r="R58" s="4">
        <v>58.553919417992702</v>
      </c>
      <c r="S58" s="4">
        <v>59.674406191143234</v>
      </c>
      <c r="T58" s="4">
        <v>59.161148946333014</v>
      </c>
      <c r="U58" s="4">
        <v>60.312377066784805</v>
      </c>
      <c r="V58" s="4">
        <v>59</v>
      </c>
      <c r="W58" s="4">
        <v>60.022509024418298</v>
      </c>
      <c r="X58" s="4">
        <v>59.688620148032797</v>
      </c>
    </row>
    <row r="59" spans="5:24" x14ac:dyDescent="0.3">
      <c r="E59" s="44"/>
      <c r="F59" s="44"/>
      <c r="G59" s="2" t="s">
        <v>12</v>
      </c>
      <c r="H59" s="30">
        <v>800</v>
      </c>
      <c r="I59" s="3">
        <v>986</v>
      </c>
      <c r="J59" s="3">
        <v>1071</v>
      </c>
      <c r="K59" s="3">
        <v>1207</v>
      </c>
      <c r="L59" s="30">
        <v>1431</v>
      </c>
      <c r="M59" s="3">
        <v>1697</v>
      </c>
      <c r="N59" s="3">
        <v>1540</v>
      </c>
    </row>
    <row r="60" spans="5:24" x14ac:dyDescent="0.3">
      <c r="E60" s="44"/>
      <c r="F60" s="44"/>
      <c r="G60" s="2" t="s">
        <v>13</v>
      </c>
      <c r="H60" s="4">
        <f>H59/5</f>
        <v>160</v>
      </c>
      <c r="I60" s="4">
        <f t="shared" ref="I60" si="14">I59/5</f>
        <v>197.2</v>
      </c>
      <c r="J60" s="4">
        <f t="shared" ref="J60" si="15">J59/5</f>
        <v>214.2</v>
      </c>
      <c r="K60" s="4">
        <f t="shared" ref="K60" si="16">K59/5</f>
        <v>241.4</v>
      </c>
      <c r="L60" s="4">
        <f t="shared" ref="L60" si="17">L59/5</f>
        <v>286.2</v>
      </c>
      <c r="M60" s="4">
        <f t="shared" ref="M60" si="18">M59/5</f>
        <v>339.4</v>
      </c>
      <c r="N60" s="4">
        <f>N59/4</f>
        <v>385</v>
      </c>
    </row>
    <row r="61" spans="5:24" x14ac:dyDescent="0.3">
      <c r="E61" s="44"/>
      <c r="F61" s="44"/>
      <c r="G61" s="2" t="s">
        <v>11</v>
      </c>
      <c r="H61" s="12">
        <v>4.8671814996323199</v>
      </c>
      <c r="I61" s="13">
        <v>5.1204758710215099</v>
      </c>
      <c r="J61" s="13">
        <v>4.5888925617699252</v>
      </c>
      <c r="K61" s="13">
        <v>5.2008274825286547</v>
      </c>
      <c r="L61" s="13">
        <v>4.4954237025972983</v>
      </c>
      <c r="M61" s="9">
        <v>4.6742836506638685</v>
      </c>
      <c r="N61" s="13">
        <v>4.7987925799954141</v>
      </c>
    </row>
    <row r="62" spans="5:24" x14ac:dyDescent="0.3">
      <c r="E62" s="44"/>
      <c r="F62" s="44"/>
      <c r="G62" s="2" t="s">
        <v>14</v>
      </c>
      <c r="H62" s="6">
        <v>20622629</v>
      </c>
      <c r="I62" s="6">
        <v>22875003</v>
      </c>
      <c r="J62" s="11">
        <v>25068886</v>
      </c>
      <c r="K62" s="11">
        <v>25068886</v>
      </c>
      <c r="L62" s="6">
        <v>27944624</v>
      </c>
      <c r="M62" s="6">
        <v>28888146</v>
      </c>
      <c r="N62" s="11">
        <v>23811233</v>
      </c>
    </row>
  </sheetData>
  <mergeCells count="30">
    <mergeCell ref="E25:F25"/>
    <mergeCell ref="G25:G26"/>
    <mergeCell ref="H25:M25"/>
    <mergeCell ref="E26:F32"/>
    <mergeCell ref="E55:F55"/>
    <mergeCell ref="G55:G56"/>
    <mergeCell ref="E56:F62"/>
    <mergeCell ref="E35:F35"/>
    <mergeCell ref="G35:G36"/>
    <mergeCell ref="E36:F42"/>
    <mergeCell ref="E45:F45"/>
    <mergeCell ref="G45:G46"/>
    <mergeCell ref="E46:F52"/>
    <mergeCell ref="E3:F3"/>
    <mergeCell ref="G3:G4"/>
    <mergeCell ref="H3:M3"/>
    <mergeCell ref="E4:F10"/>
    <mergeCell ref="E15:F15"/>
    <mergeCell ref="G15:G16"/>
    <mergeCell ref="H15:M15"/>
    <mergeCell ref="E16:F22"/>
    <mergeCell ref="Q37:Q38"/>
    <mergeCell ref="Q47:Q48"/>
    <mergeCell ref="Q56:Q57"/>
    <mergeCell ref="Q4:Q5"/>
    <mergeCell ref="R4:W4"/>
    <mergeCell ref="Q15:Q16"/>
    <mergeCell ref="R15:W15"/>
    <mergeCell ref="Q26:Q27"/>
    <mergeCell ref="R26:W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2C92-19F8-4E95-828E-993F796FF838}">
  <dimension ref="E4:X63"/>
  <sheetViews>
    <sheetView topLeftCell="E1" zoomScaleNormal="100" workbookViewId="0">
      <selection activeCell="H7" sqref="H7:M7"/>
    </sheetView>
  </sheetViews>
  <sheetFormatPr defaultRowHeight="14.4" x14ac:dyDescent="0.3"/>
  <cols>
    <col min="7" max="7" width="17.77734375" bestFit="1" customWidth="1"/>
    <col min="8" max="8" width="9.109375" customWidth="1"/>
    <col min="9" max="14" width="9.6640625" bestFit="1" customWidth="1"/>
    <col min="17" max="17" width="17.77734375" bestFit="1" customWidth="1"/>
  </cols>
  <sheetData>
    <row r="4" spans="5:23" x14ac:dyDescent="0.3">
      <c r="E4" s="43" t="s">
        <v>0</v>
      </c>
      <c r="F4" s="43"/>
      <c r="G4" s="36"/>
      <c r="H4" s="36" t="s">
        <v>24</v>
      </c>
      <c r="I4" s="36"/>
      <c r="J4" s="36"/>
      <c r="K4" s="36"/>
      <c r="L4" s="36"/>
      <c r="M4" s="36"/>
      <c r="Q4" s="36"/>
      <c r="R4" s="36" t="s">
        <v>24</v>
      </c>
      <c r="S4" s="36"/>
      <c r="T4" s="36"/>
      <c r="U4" s="36"/>
      <c r="V4" s="36"/>
      <c r="W4" s="36"/>
    </row>
    <row r="5" spans="5:23" x14ac:dyDescent="0.3">
      <c r="E5" s="44" t="s">
        <v>2</v>
      </c>
      <c r="F5" s="44"/>
      <c r="G5" s="36"/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Q5" s="36"/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</row>
    <row r="6" spans="5:23" x14ac:dyDescent="0.3">
      <c r="E6" s="44"/>
      <c r="F6" s="44"/>
      <c r="G6" s="2" t="s">
        <v>9</v>
      </c>
      <c r="H6" s="3">
        <v>48</v>
      </c>
      <c r="I6" s="3">
        <v>50</v>
      </c>
      <c r="J6" s="3">
        <v>50</v>
      </c>
      <c r="K6" s="3">
        <v>51</v>
      </c>
      <c r="L6" s="3">
        <v>52</v>
      </c>
      <c r="M6" s="3">
        <v>53</v>
      </c>
      <c r="Q6" s="2" t="s">
        <v>10</v>
      </c>
      <c r="R6" s="4">
        <v>51.720008944077918</v>
      </c>
      <c r="S6" s="4">
        <v>52.611756523078647</v>
      </c>
      <c r="T6" s="4">
        <v>53.228354650949179</v>
      </c>
      <c r="U6" s="4">
        <v>53.68716882362876</v>
      </c>
      <c r="V6" s="4">
        <v>54.554658469271075</v>
      </c>
      <c r="W6" s="4">
        <v>55.19350680964763</v>
      </c>
    </row>
    <row r="7" spans="5:23" x14ac:dyDescent="0.3">
      <c r="E7" s="44"/>
      <c r="F7" s="44"/>
      <c r="G7" s="2" t="s">
        <v>10</v>
      </c>
      <c r="H7" s="4">
        <v>51.720008944077918</v>
      </c>
      <c r="I7" s="4">
        <v>52.611756523078647</v>
      </c>
      <c r="J7" s="4">
        <v>53.228354650949179</v>
      </c>
      <c r="K7" s="4">
        <v>53.68716882362876</v>
      </c>
      <c r="L7" s="4">
        <v>54.554658469271075</v>
      </c>
      <c r="M7" s="4">
        <v>55.19350680964763</v>
      </c>
      <c r="O7">
        <f>CORREL(H7:M7,H10:M10)</f>
        <v>0.89940118444561923</v>
      </c>
    </row>
    <row r="8" spans="5:23" x14ac:dyDescent="0.3">
      <c r="E8" s="44"/>
      <c r="F8" s="44"/>
      <c r="G8" s="2" t="s">
        <v>12</v>
      </c>
      <c r="H8" s="3">
        <v>3711</v>
      </c>
      <c r="I8" s="3">
        <v>4942</v>
      </c>
      <c r="J8" s="3">
        <v>6381</v>
      </c>
      <c r="K8" s="14">
        <v>8658</v>
      </c>
      <c r="L8" s="14">
        <v>12797</v>
      </c>
      <c r="M8" s="14">
        <v>8355</v>
      </c>
    </row>
    <row r="9" spans="5:23" x14ac:dyDescent="0.3">
      <c r="E9" s="44"/>
      <c r="F9" s="44"/>
      <c r="G9" s="2" t="s">
        <v>13</v>
      </c>
      <c r="H9" s="4">
        <f>H8/5</f>
        <v>742.2</v>
      </c>
      <c r="I9" s="4">
        <f t="shared" ref="I9:L9" si="0">I8/5</f>
        <v>988.4</v>
      </c>
      <c r="J9" s="4">
        <f t="shared" si="0"/>
        <v>1276.2</v>
      </c>
      <c r="K9" s="4">
        <f t="shared" si="0"/>
        <v>1731.6</v>
      </c>
      <c r="L9" s="4">
        <f t="shared" si="0"/>
        <v>2559.4</v>
      </c>
      <c r="M9" s="4">
        <f>M8/3</f>
        <v>2785</v>
      </c>
    </row>
    <row r="10" spans="5:23" x14ac:dyDescent="0.3">
      <c r="E10" s="44"/>
      <c r="F10" s="44"/>
      <c r="G10" s="2" t="s">
        <v>11</v>
      </c>
      <c r="H10" s="5">
        <v>22.468282039304636</v>
      </c>
      <c r="I10" s="5">
        <v>23.488099185191405</v>
      </c>
      <c r="J10" s="5">
        <v>23.917133104341797</v>
      </c>
      <c r="K10" s="5">
        <v>25.727297633725819</v>
      </c>
      <c r="L10" s="5">
        <v>30.858434578436491</v>
      </c>
      <c r="M10" s="5">
        <v>28.721007994000146</v>
      </c>
    </row>
    <row r="11" spans="5:23" x14ac:dyDescent="0.3">
      <c r="E11" s="44"/>
      <c r="F11" s="44"/>
      <c r="G11" s="2" t="s">
        <v>14</v>
      </c>
      <c r="H11" s="6">
        <v>20339480</v>
      </c>
      <c r="I11" s="6">
        <v>25032468</v>
      </c>
      <c r="J11" s="6">
        <v>30126564</v>
      </c>
      <c r="K11" s="6">
        <v>34506788</v>
      </c>
      <c r="L11" s="6">
        <v>39450421</v>
      </c>
      <c r="M11" s="6">
        <v>26333772</v>
      </c>
    </row>
    <row r="12" spans="5:23" x14ac:dyDescent="0.3">
      <c r="H12" s="7"/>
      <c r="I12" s="7"/>
      <c r="J12" s="7"/>
      <c r="K12" s="7"/>
      <c r="L12" s="7"/>
      <c r="M12" s="7"/>
    </row>
    <row r="16" spans="5:23" x14ac:dyDescent="0.3">
      <c r="E16" s="43" t="s">
        <v>0</v>
      </c>
      <c r="F16" s="43"/>
      <c r="G16" s="36"/>
      <c r="H16" s="36" t="s">
        <v>24</v>
      </c>
      <c r="I16" s="36"/>
      <c r="J16" s="36"/>
      <c r="K16" s="36"/>
      <c r="L16" s="36"/>
      <c r="M16" s="36"/>
    </row>
    <row r="17" spans="5:23" x14ac:dyDescent="0.3">
      <c r="E17" s="44" t="s">
        <v>20</v>
      </c>
      <c r="F17" s="44"/>
      <c r="G17" s="36"/>
      <c r="H17" s="1" t="s">
        <v>3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21</v>
      </c>
      <c r="Q17" s="36"/>
      <c r="R17" s="36" t="s">
        <v>24</v>
      </c>
      <c r="S17" s="36"/>
      <c r="T17" s="36"/>
      <c r="U17" s="36"/>
      <c r="V17" s="36"/>
      <c r="W17" s="36"/>
    </row>
    <row r="18" spans="5:23" x14ac:dyDescent="0.3">
      <c r="E18" s="44"/>
      <c r="F18" s="44"/>
      <c r="G18" s="2" t="s">
        <v>9</v>
      </c>
      <c r="H18" s="3">
        <v>50</v>
      </c>
      <c r="I18" s="3">
        <v>50</v>
      </c>
      <c r="J18" s="3">
        <v>51</v>
      </c>
      <c r="K18" s="3">
        <v>50</v>
      </c>
      <c r="L18" s="3">
        <v>55</v>
      </c>
      <c r="M18" s="3">
        <v>52</v>
      </c>
      <c r="Q18" s="36"/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21</v>
      </c>
    </row>
    <row r="19" spans="5:23" x14ac:dyDescent="0.3">
      <c r="E19" s="44"/>
      <c r="F19" s="44"/>
      <c r="G19" s="2" t="s">
        <v>10</v>
      </c>
      <c r="H19" s="23">
        <v>52.190966887183883</v>
      </c>
      <c r="I19" s="23">
        <v>49.582058766264403</v>
      </c>
      <c r="J19" s="23">
        <v>51.50972081593973</v>
      </c>
      <c r="K19" s="23">
        <v>49.919744114269662</v>
      </c>
      <c r="L19" s="23">
        <v>50.337902586017947</v>
      </c>
      <c r="M19" s="23">
        <v>50.663675869786836</v>
      </c>
      <c r="Q19" s="2" t="s">
        <v>10</v>
      </c>
      <c r="R19" s="23">
        <v>52.190966887183883</v>
      </c>
      <c r="S19" s="23">
        <v>49.582058766264403</v>
      </c>
      <c r="T19" s="23">
        <v>51.50972081593973</v>
      </c>
      <c r="U19" s="23">
        <v>49.919744114269662</v>
      </c>
      <c r="V19" s="23">
        <v>50.337902586017947</v>
      </c>
      <c r="W19" s="23">
        <v>50.663675869786836</v>
      </c>
    </row>
    <row r="20" spans="5:23" x14ac:dyDescent="0.3">
      <c r="E20" s="44"/>
      <c r="F20" s="44"/>
      <c r="G20" s="2" t="s">
        <v>12</v>
      </c>
      <c r="H20" s="10">
        <v>80</v>
      </c>
      <c r="I20" s="14">
        <v>79</v>
      </c>
      <c r="J20" s="14">
        <v>92</v>
      </c>
      <c r="K20" s="14">
        <v>112</v>
      </c>
      <c r="L20" s="10">
        <v>150</v>
      </c>
      <c r="M20" s="14">
        <v>190</v>
      </c>
      <c r="O20">
        <f>CORREL(H19:M19,H22:M22)</f>
        <v>-0.2490552978464389</v>
      </c>
    </row>
    <row r="21" spans="5:23" x14ac:dyDescent="0.3">
      <c r="E21" s="44"/>
      <c r="F21" s="44"/>
      <c r="G21" s="2" t="s">
        <v>13</v>
      </c>
      <c r="H21" s="23">
        <f>H20/5</f>
        <v>16</v>
      </c>
      <c r="I21" s="23">
        <f t="shared" ref="I21:M21" si="1">I20/5</f>
        <v>15.8</v>
      </c>
      <c r="J21" s="23">
        <f t="shared" si="1"/>
        <v>18.399999999999999</v>
      </c>
      <c r="K21" s="23">
        <f t="shared" si="1"/>
        <v>22.4</v>
      </c>
      <c r="L21" s="23">
        <f t="shared" si="1"/>
        <v>30</v>
      </c>
      <c r="M21" s="23">
        <f t="shared" si="1"/>
        <v>38</v>
      </c>
    </row>
    <row r="22" spans="5:23" x14ac:dyDescent="0.3">
      <c r="E22" s="44"/>
      <c r="F22" s="44"/>
      <c r="G22" s="2" t="s">
        <v>11</v>
      </c>
      <c r="H22" s="25">
        <v>7.1563946361666035</v>
      </c>
      <c r="I22" s="25">
        <v>6.7861417976933227</v>
      </c>
      <c r="J22" s="25">
        <v>8.3336277277911091</v>
      </c>
      <c r="K22" s="12">
        <v>9.8908386989661423</v>
      </c>
      <c r="L22" s="25">
        <v>12.6332385559703</v>
      </c>
      <c r="M22" s="25">
        <v>11.514732392704737</v>
      </c>
    </row>
    <row r="23" spans="5:23" x14ac:dyDescent="0.3">
      <c r="E23" s="44"/>
      <c r="F23" s="44"/>
      <c r="G23" s="2" t="s">
        <v>14</v>
      </c>
      <c r="H23" s="14">
        <v>1100448</v>
      </c>
      <c r="I23" s="24">
        <v>1149747</v>
      </c>
      <c r="J23" s="24">
        <v>1103961</v>
      </c>
      <c r="K23" s="24">
        <v>1132361</v>
      </c>
      <c r="L23" s="24">
        <v>1187344</v>
      </c>
      <c r="M23" s="24">
        <v>1244995</v>
      </c>
    </row>
    <row r="26" spans="5:23" x14ac:dyDescent="0.3">
      <c r="E26" s="43" t="s">
        <v>0</v>
      </c>
      <c r="F26" s="43"/>
      <c r="G26" s="36"/>
      <c r="H26" s="36" t="s">
        <v>24</v>
      </c>
      <c r="I26" s="36"/>
      <c r="J26" s="36"/>
      <c r="K26" s="36"/>
      <c r="L26" s="36"/>
      <c r="M26" s="36"/>
    </row>
    <row r="27" spans="5:23" x14ac:dyDescent="0.3">
      <c r="E27" s="44" t="s">
        <v>22</v>
      </c>
      <c r="F27" s="44"/>
      <c r="G27" s="36"/>
      <c r="H27" s="1" t="s">
        <v>3</v>
      </c>
      <c r="I27" s="1" t="s">
        <v>4</v>
      </c>
      <c r="J27" s="1" t="s">
        <v>5</v>
      </c>
      <c r="K27" s="1" t="s">
        <v>6</v>
      </c>
      <c r="L27" s="1" t="s">
        <v>7</v>
      </c>
      <c r="M27" s="1" t="s">
        <v>21</v>
      </c>
      <c r="Q27" s="36"/>
      <c r="R27" s="36" t="s">
        <v>24</v>
      </c>
      <c r="S27" s="36"/>
      <c r="T27" s="36"/>
      <c r="U27" s="36"/>
      <c r="V27" s="36"/>
      <c r="W27" s="36"/>
    </row>
    <row r="28" spans="5:23" x14ac:dyDescent="0.3">
      <c r="E28" s="44"/>
      <c r="F28" s="44"/>
      <c r="G28" s="2" t="s">
        <v>9</v>
      </c>
      <c r="H28" s="3">
        <v>48</v>
      </c>
      <c r="I28" s="3">
        <v>48</v>
      </c>
      <c r="J28" s="3">
        <v>50</v>
      </c>
      <c r="K28" s="3">
        <v>50</v>
      </c>
      <c r="L28" s="3">
        <v>50</v>
      </c>
      <c r="M28" s="3">
        <v>55</v>
      </c>
      <c r="Q28" s="36"/>
      <c r="R28" s="1" t="s">
        <v>3</v>
      </c>
      <c r="S28" s="1" t="s">
        <v>4</v>
      </c>
      <c r="T28" s="1" t="s">
        <v>5</v>
      </c>
      <c r="U28" s="1" t="s">
        <v>6</v>
      </c>
      <c r="V28" s="1" t="s">
        <v>7</v>
      </c>
      <c r="W28" s="1" t="s">
        <v>21</v>
      </c>
    </row>
    <row r="29" spans="5:23" x14ac:dyDescent="0.3">
      <c r="E29" s="44"/>
      <c r="F29" s="44"/>
      <c r="G29" s="2" t="s">
        <v>10</v>
      </c>
      <c r="H29" s="4">
        <v>51.658433526356511</v>
      </c>
      <c r="I29" s="4">
        <v>51.211727314069215</v>
      </c>
      <c r="J29" s="4">
        <v>52.123014715906969</v>
      </c>
      <c r="K29" s="4">
        <v>52.582045930731887</v>
      </c>
      <c r="L29" s="4">
        <v>53.557808149124959</v>
      </c>
      <c r="M29" s="4">
        <v>53.023940581393013</v>
      </c>
      <c r="O29">
        <f>CORREL(H29:M29,H32:M32)</f>
        <v>0.89708214847848455</v>
      </c>
      <c r="Q29" s="2" t="s">
        <v>10</v>
      </c>
      <c r="R29" s="4">
        <v>51.658433526356511</v>
      </c>
      <c r="S29" s="4">
        <v>51.211727314069215</v>
      </c>
      <c r="T29" s="4">
        <v>52.123014715906969</v>
      </c>
      <c r="U29" s="4">
        <v>52.582045930731887</v>
      </c>
      <c r="V29" s="4">
        <v>53.557808149124959</v>
      </c>
      <c r="W29" s="4">
        <v>53.023940581393013</v>
      </c>
    </row>
    <row r="30" spans="5:23" x14ac:dyDescent="0.3">
      <c r="E30" s="44"/>
      <c r="F30" s="44"/>
      <c r="G30" s="2" t="s">
        <v>12</v>
      </c>
      <c r="H30" s="14">
        <v>337</v>
      </c>
      <c r="I30" s="14">
        <v>435</v>
      </c>
      <c r="J30" s="14">
        <v>597</v>
      </c>
      <c r="K30" s="14">
        <v>826</v>
      </c>
      <c r="L30" s="14">
        <v>1277</v>
      </c>
      <c r="M30" s="14">
        <v>1686</v>
      </c>
    </row>
    <row r="31" spans="5:23" x14ac:dyDescent="0.3">
      <c r="E31" s="44"/>
      <c r="F31" s="44"/>
      <c r="G31" s="2" t="s">
        <v>13</v>
      </c>
      <c r="H31" s="23">
        <f>H30/5</f>
        <v>67.400000000000006</v>
      </c>
      <c r="I31" s="23">
        <f t="shared" ref="I31:M31" si="2">I30/5</f>
        <v>87</v>
      </c>
      <c r="J31" s="23">
        <f t="shared" si="2"/>
        <v>119.4</v>
      </c>
      <c r="K31" s="23">
        <f t="shared" si="2"/>
        <v>165.2</v>
      </c>
      <c r="L31" s="23">
        <f t="shared" si="2"/>
        <v>255.4</v>
      </c>
      <c r="M31" s="23">
        <f t="shared" si="2"/>
        <v>337.2</v>
      </c>
    </row>
    <row r="32" spans="5:23" x14ac:dyDescent="0.3">
      <c r="E32" s="44"/>
      <c r="F32" s="44"/>
      <c r="G32" s="2" t="s">
        <v>11</v>
      </c>
      <c r="H32" s="12">
        <v>16.857608542955859</v>
      </c>
      <c r="I32" s="25">
        <v>17.08382530548657</v>
      </c>
      <c r="J32" s="25">
        <v>18.71396987265863</v>
      </c>
      <c r="K32" s="12">
        <v>20.681045402420288</v>
      </c>
      <c r="L32" s="25">
        <v>25.991007808333528</v>
      </c>
      <c r="M32" s="25">
        <v>28.129847692659059</v>
      </c>
    </row>
    <row r="33" spans="5:24" x14ac:dyDescent="0.3">
      <c r="E33" s="44"/>
      <c r="F33" s="44"/>
      <c r="G33" s="2" t="s">
        <v>14</v>
      </c>
      <c r="H33" s="11">
        <v>2658384</v>
      </c>
      <c r="I33" s="11">
        <v>3123604</v>
      </c>
      <c r="J33" s="11">
        <v>3636214</v>
      </c>
      <c r="K33" s="11">
        <v>4164525</v>
      </c>
      <c r="L33" s="24">
        <v>4766691</v>
      </c>
      <c r="M33" s="11">
        <v>5455919</v>
      </c>
    </row>
    <row r="36" spans="5:24" x14ac:dyDescent="0.3">
      <c r="E36" s="43" t="s">
        <v>0</v>
      </c>
      <c r="F36" s="43"/>
      <c r="G36" s="36"/>
      <c r="H36" s="31" t="s">
        <v>24</v>
      </c>
      <c r="I36" s="32"/>
      <c r="J36" s="32"/>
      <c r="K36" s="32"/>
      <c r="L36" s="32"/>
      <c r="M36" s="32"/>
      <c r="N36" s="33"/>
    </row>
    <row r="37" spans="5:24" x14ac:dyDescent="0.3">
      <c r="E37" s="44" t="s">
        <v>15</v>
      </c>
      <c r="F37" s="44"/>
      <c r="G37" s="36"/>
      <c r="H37" s="8" t="s">
        <v>16</v>
      </c>
      <c r="I37" s="1" t="s">
        <v>3</v>
      </c>
      <c r="J37" s="1" t="s">
        <v>4</v>
      </c>
      <c r="K37" s="1" t="s">
        <v>5</v>
      </c>
      <c r="L37" s="1" t="s">
        <v>6</v>
      </c>
      <c r="M37" s="1" t="s">
        <v>7</v>
      </c>
      <c r="N37" s="1" t="s">
        <v>17</v>
      </c>
      <c r="Q37" s="36"/>
      <c r="R37" s="31" t="s">
        <v>24</v>
      </c>
      <c r="S37" s="32"/>
      <c r="T37" s="32"/>
      <c r="U37" s="32"/>
      <c r="V37" s="32"/>
      <c r="W37" s="32"/>
      <c r="X37" s="33"/>
    </row>
    <row r="38" spans="5:24" x14ac:dyDescent="0.3">
      <c r="E38" s="44"/>
      <c r="F38" s="44"/>
      <c r="G38" s="2" t="s">
        <v>9</v>
      </c>
      <c r="H38" s="2">
        <v>50</v>
      </c>
      <c r="I38" s="2">
        <v>50</v>
      </c>
      <c r="J38" s="2">
        <v>50</v>
      </c>
      <c r="K38" s="2">
        <v>51</v>
      </c>
      <c r="L38" s="2">
        <v>53</v>
      </c>
      <c r="M38" s="2">
        <v>55</v>
      </c>
      <c r="N38" s="2">
        <v>55</v>
      </c>
      <c r="Q38" s="36"/>
      <c r="R38" s="8" t="s">
        <v>16</v>
      </c>
      <c r="S38" s="1" t="s">
        <v>3</v>
      </c>
      <c r="T38" s="1" t="s">
        <v>4</v>
      </c>
      <c r="U38" s="1" t="s">
        <v>5</v>
      </c>
      <c r="V38" s="1" t="s">
        <v>6</v>
      </c>
      <c r="W38" s="1" t="s">
        <v>7</v>
      </c>
      <c r="X38" s="1" t="s">
        <v>17</v>
      </c>
    </row>
    <row r="39" spans="5:24" x14ac:dyDescent="0.3">
      <c r="E39" s="44"/>
      <c r="F39" s="44"/>
      <c r="G39" s="2" t="s">
        <v>10</v>
      </c>
      <c r="H39" s="15">
        <v>52.148147946974333</v>
      </c>
      <c r="I39" s="15">
        <v>53.206186110701552</v>
      </c>
      <c r="J39" s="15">
        <v>53.011097087697152</v>
      </c>
      <c r="K39" s="15">
        <v>54.140735465207491</v>
      </c>
      <c r="L39" s="15">
        <v>54.766549357012259</v>
      </c>
      <c r="M39" s="15">
        <v>56.138446415192689</v>
      </c>
      <c r="N39" s="15">
        <v>55.571139029707354</v>
      </c>
      <c r="P39">
        <f>CORREL(H39:N39,H42:N42)</f>
        <v>0.92190206286664222</v>
      </c>
      <c r="Q39" s="2" t="s">
        <v>10</v>
      </c>
      <c r="R39" s="15">
        <v>52.148147946974333</v>
      </c>
      <c r="S39" s="15">
        <v>53.206186110701552</v>
      </c>
      <c r="T39" s="15">
        <v>53.011097087697152</v>
      </c>
      <c r="U39" s="15">
        <v>54.140735465207491</v>
      </c>
      <c r="V39" s="15">
        <v>54.766549357012259</v>
      </c>
      <c r="W39" s="15">
        <v>56.138446415192689</v>
      </c>
      <c r="X39" s="15">
        <v>55.571139029707354</v>
      </c>
    </row>
    <row r="40" spans="5:24" x14ac:dyDescent="0.3">
      <c r="E40" s="44"/>
      <c r="F40" s="44"/>
      <c r="G40" s="2" t="s">
        <v>12</v>
      </c>
      <c r="H40" s="2">
        <v>1057</v>
      </c>
      <c r="I40" s="2">
        <v>1520</v>
      </c>
      <c r="J40" s="2">
        <v>1958</v>
      </c>
      <c r="K40" s="2">
        <v>3022</v>
      </c>
      <c r="L40" s="2">
        <v>4911</v>
      </c>
      <c r="M40" s="2">
        <v>6637</v>
      </c>
      <c r="N40" s="2">
        <v>8021</v>
      </c>
    </row>
    <row r="41" spans="5:24" x14ac:dyDescent="0.3">
      <c r="E41" s="44"/>
      <c r="F41" s="44"/>
      <c r="G41" s="2" t="s">
        <v>13</v>
      </c>
      <c r="H41" s="15">
        <f>H40/5</f>
        <v>211.4</v>
      </c>
      <c r="I41" s="15">
        <f t="shared" ref="I41" si="3">I40/5</f>
        <v>304</v>
      </c>
      <c r="J41" s="15">
        <f t="shared" ref="J41" si="4">J40/5</f>
        <v>391.6</v>
      </c>
      <c r="K41" s="15">
        <f t="shared" ref="K41" si="5">K40/5</f>
        <v>604.4</v>
      </c>
      <c r="L41" s="15">
        <f t="shared" ref="L41" si="6">L40/5</f>
        <v>982.2</v>
      </c>
      <c r="M41" s="15">
        <f t="shared" ref="M41" si="7">M40/5</f>
        <v>1327.4</v>
      </c>
      <c r="N41" s="15">
        <f>N40/4</f>
        <v>2005.25</v>
      </c>
    </row>
    <row r="42" spans="5:24" x14ac:dyDescent="0.3">
      <c r="E42" s="44"/>
      <c r="F42" s="44"/>
      <c r="G42" s="2" t="s">
        <v>11</v>
      </c>
      <c r="H42" s="19">
        <v>14.76678056900969</v>
      </c>
      <c r="I42" s="19">
        <v>17.605528563595861</v>
      </c>
      <c r="J42" s="19">
        <v>17.993088400773267</v>
      </c>
      <c r="K42" s="19">
        <v>22.288639733936932</v>
      </c>
      <c r="L42" s="19">
        <v>28.326092482726011</v>
      </c>
      <c r="M42" s="20">
        <v>30.415071671841421</v>
      </c>
      <c r="N42" s="19">
        <v>37.631475848236228</v>
      </c>
    </row>
    <row r="43" spans="5:24" x14ac:dyDescent="0.3">
      <c r="E43" s="44"/>
      <c r="F43" s="44"/>
      <c r="G43" s="2" t="s">
        <v>14</v>
      </c>
      <c r="H43" s="21">
        <v>8966108</v>
      </c>
      <c r="I43" s="21">
        <v>10336582</v>
      </c>
      <c r="J43" s="21">
        <v>12122651</v>
      </c>
      <c r="K43" s="21">
        <v>14261397</v>
      </c>
      <c r="L43" s="21">
        <v>17029916</v>
      </c>
      <c r="M43" s="16">
        <v>20360277</v>
      </c>
      <c r="N43" s="21">
        <v>19119658</v>
      </c>
    </row>
    <row r="46" spans="5:24" x14ac:dyDescent="0.3">
      <c r="E46" s="43" t="s">
        <v>0</v>
      </c>
      <c r="F46" s="43"/>
      <c r="G46" s="36"/>
      <c r="H46" s="31" t="s">
        <v>24</v>
      </c>
      <c r="I46" s="32"/>
      <c r="J46" s="32"/>
      <c r="K46" s="32"/>
      <c r="L46" s="32"/>
      <c r="M46" s="32"/>
      <c r="N46" s="33"/>
      <c r="Q46" s="36"/>
      <c r="R46" s="31" t="s">
        <v>24</v>
      </c>
      <c r="S46" s="32"/>
      <c r="T46" s="32"/>
      <c r="U46" s="32"/>
      <c r="V46" s="32"/>
      <c r="W46" s="32"/>
      <c r="X46" s="33"/>
    </row>
    <row r="47" spans="5:24" x14ac:dyDescent="0.3">
      <c r="E47" s="44" t="s">
        <v>18</v>
      </c>
      <c r="F47" s="44"/>
      <c r="G47" s="36"/>
      <c r="H47" s="8" t="s">
        <v>16</v>
      </c>
      <c r="I47" s="1" t="s">
        <v>3</v>
      </c>
      <c r="J47" s="1" t="s">
        <v>4</v>
      </c>
      <c r="K47" s="1" t="s">
        <v>5</v>
      </c>
      <c r="L47" s="1" t="s">
        <v>6</v>
      </c>
      <c r="M47" s="1" t="s">
        <v>7</v>
      </c>
      <c r="N47" s="1" t="s">
        <v>17</v>
      </c>
      <c r="Q47" s="36"/>
      <c r="R47" s="8" t="s">
        <v>16</v>
      </c>
      <c r="S47" s="1" t="s">
        <v>3</v>
      </c>
      <c r="T47" s="1" t="s">
        <v>4</v>
      </c>
      <c r="U47" s="1" t="s">
        <v>5</v>
      </c>
      <c r="V47" s="1" t="s">
        <v>6</v>
      </c>
      <c r="W47" s="1" t="s">
        <v>7</v>
      </c>
      <c r="X47" s="1" t="s">
        <v>17</v>
      </c>
    </row>
    <row r="48" spans="5:24" x14ac:dyDescent="0.3">
      <c r="E48" s="44"/>
      <c r="F48" s="44"/>
      <c r="G48" s="2" t="s">
        <v>9</v>
      </c>
      <c r="H48" s="2">
        <v>50</v>
      </c>
      <c r="I48" s="2">
        <v>50</v>
      </c>
      <c r="J48" s="2">
        <v>51</v>
      </c>
      <c r="K48" s="2">
        <v>51</v>
      </c>
      <c r="L48" s="2">
        <v>52</v>
      </c>
      <c r="M48" s="2">
        <v>55</v>
      </c>
      <c r="N48" s="2">
        <v>55</v>
      </c>
      <c r="Q48" s="2" t="s">
        <v>10</v>
      </c>
      <c r="R48" s="15">
        <v>53</v>
      </c>
      <c r="S48" s="15">
        <v>54</v>
      </c>
      <c r="T48" s="15">
        <v>55</v>
      </c>
      <c r="U48" s="15">
        <v>54</v>
      </c>
      <c r="V48" s="15">
        <v>55</v>
      </c>
      <c r="W48" s="15">
        <v>57</v>
      </c>
      <c r="X48" s="15">
        <v>57</v>
      </c>
    </row>
    <row r="49" spans="5:24" x14ac:dyDescent="0.3">
      <c r="E49" s="44"/>
      <c r="F49" s="44"/>
      <c r="G49" s="2" t="s">
        <v>10</v>
      </c>
      <c r="H49" s="15">
        <v>53</v>
      </c>
      <c r="I49" s="15">
        <v>54</v>
      </c>
      <c r="J49" s="15">
        <v>55</v>
      </c>
      <c r="K49" s="15">
        <v>54</v>
      </c>
      <c r="L49" s="15">
        <v>55</v>
      </c>
      <c r="M49" s="15">
        <v>57</v>
      </c>
      <c r="N49" s="15">
        <v>57</v>
      </c>
      <c r="P49">
        <f>CORREL(H49:N49,H52:N52)</f>
        <v>0.89568944529198835</v>
      </c>
    </row>
    <row r="50" spans="5:24" x14ac:dyDescent="0.3">
      <c r="E50" s="44"/>
      <c r="F50" s="44"/>
      <c r="G50" s="2" t="s">
        <v>12</v>
      </c>
      <c r="H50" s="2">
        <v>1396</v>
      </c>
      <c r="I50" s="2">
        <v>1611</v>
      </c>
      <c r="J50" s="2">
        <v>2102</v>
      </c>
      <c r="K50" s="2">
        <v>2892</v>
      </c>
      <c r="L50" s="2">
        <v>3552</v>
      </c>
      <c r="M50" s="2">
        <v>4794</v>
      </c>
      <c r="N50" s="2">
        <v>4911</v>
      </c>
    </row>
    <row r="51" spans="5:24" x14ac:dyDescent="0.3">
      <c r="E51" s="44"/>
      <c r="F51" s="44"/>
      <c r="G51" s="2" t="s">
        <v>13</v>
      </c>
      <c r="H51" s="15">
        <f>H50/5</f>
        <v>279.2</v>
      </c>
      <c r="I51" s="15">
        <f t="shared" ref="I51" si="8">I50/5</f>
        <v>322.2</v>
      </c>
      <c r="J51" s="15">
        <f t="shared" ref="J51" si="9">J50/5</f>
        <v>420.4</v>
      </c>
      <c r="K51" s="15">
        <f t="shared" ref="K51" si="10">K50/5</f>
        <v>578.4</v>
      </c>
      <c r="L51" s="15">
        <f t="shared" ref="L51" si="11">L50/5</f>
        <v>710.4</v>
      </c>
      <c r="M51" s="15">
        <f t="shared" ref="M51" si="12">M50/5</f>
        <v>958.8</v>
      </c>
      <c r="N51" s="15">
        <f>N50/4</f>
        <v>1227.75</v>
      </c>
    </row>
    <row r="52" spans="5:24" x14ac:dyDescent="0.3">
      <c r="E52" s="44"/>
      <c r="F52" s="44"/>
      <c r="G52" s="2" t="s">
        <v>11</v>
      </c>
      <c r="H52" s="27">
        <v>17.200058278206217</v>
      </c>
      <c r="I52" s="19">
        <v>17.443690549772501</v>
      </c>
      <c r="J52" s="19">
        <v>19.888890167408437</v>
      </c>
      <c r="K52" s="19">
        <v>24.03764733917993</v>
      </c>
      <c r="L52" s="19">
        <v>25.986414805134512</v>
      </c>
      <c r="M52" s="19">
        <v>31.125168558999604</v>
      </c>
      <c r="N52" s="19">
        <v>36.190069606251384</v>
      </c>
    </row>
    <row r="53" spans="5:24" x14ac:dyDescent="0.3">
      <c r="E53" s="44"/>
      <c r="F53" s="44"/>
      <c r="G53" s="2" t="s">
        <v>14</v>
      </c>
      <c r="H53" s="17">
        <v>8752703</v>
      </c>
      <c r="I53" s="22">
        <v>9443423</v>
      </c>
      <c r="J53" s="22">
        <v>10107968</v>
      </c>
      <c r="K53" s="22">
        <v>10734123</v>
      </c>
      <c r="L53" s="22">
        <v>11203632</v>
      </c>
      <c r="M53" s="22">
        <v>11685846</v>
      </c>
      <c r="N53" s="22">
        <v>9709793</v>
      </c>
    </row>
    <row r="56" spans="5:24" x14ac:dyDescent="0.3">
      <c r="E56" s="43" t="s">
        <v>0</v>
      </c>
      <c r="F56" s="43"/>
      <c r="G56" s="36"/>
      <c r="H56" s="31" t="s">
        <v>24</v>
      </c>
      <c r="I56" s="32"/>
      <c r="J56" s="32"/>
      <c r="K56" s="32"/>
      <c r="L56" s="32"/>
      <c r="M56" s="32"/>
      <c r="N56" s="33"/>
      <c r="Q56" s="36"/>
      <c r="R56" s="31" t="s">
        <v>24</v>
      </c>
      <c r="S56" s="32"/>
      <c r="T56" s="32"/>
      <c r="U56" s="32"/>
      <c r="V56" s="32"/>
      <c r="W56" s="32"/>
      <c r="X56" s="33"/>
    </row>
    <row r="57" spans="5:24" x14ac:dyDescent="0.3">
      <c r="E57" s="44" t="s">
        <v>19</v>
      </c>
      <c r="F57" s="44"/>
      <c r="G57" s="36"/>
      <c r="H57" s="8" t="s">
        <v>16</v>
      </c>
      <c r="I57" s="1" t="s">
        <v>3</v>
      </c>
      <c r="J57" s="1" t="s">
        <v>4</v>
      </c>
      <c r="K57" s="1" t="s">
        <v>5</v>
      </c>
      <c r="L57" s="1" t="s">
        <v>6</v>
      </c>
      <c r="M57" s="1" t="s">
        <v>7</v>
      </c>
      <c r="N57" s="1" t="s">
        <v>17</v>
      </c>
      <c r="Q57" s="36"/>
      <c r="R57" s="8" t="s">
        <v>16</v>
      </c>
      <c r="S57" s="1" t="s">
        <v>3</v>
      </c>
      <c r="T57" s="1" t="s">
        <v>4</v>
      </c>
      <c r="U57" s="1" t="s">
        <v>5</v>
      </c>
      <c r="V57" s="1" t="s">
        <v>6</v>
      </c>
      <c r="W57" s="1" t="s">
        <v>7</v>
      </c>
      <c r="X57" s="1" t="s">
        <v>17</v>
      </c>
    </row>
    <row r="58" spans="5:24" x14ac:dyDescent="0.3">
      <c r="E58" s="44"/>
      <c r="F58" s="44"/>
      <c r="G58" s="2" t="s">
        <v>9</v>
      </c>
      <c r="H58" s="2">
        <v>50</v>
      </c>
      <c r="I58" s="2">
        <v>50</v>
      </c>
      <c r="J58" s="2">
        <v>52</v>
      </c>
      <c r="K58" s="2">
        <v>52</v>
      </c>
      <c r="L58" s="2">
        <v>53</v>
      </c>
      <c r="M58" s="2">
        <v>56</v>
      </c>
      <c r="N58" s="2">
        <v>57</v>
      </c>
      <c r="Q58" s="2" t="s">
        <v>10</v>
      </c>
      <c r="R58" s="15">
        <v>53.893779682417978</v>
      </c>
      <c r="S58" s="29">
        <v>54.234195461099688</v>
      </c>
      <c r="T58" s="29">
        <v>54.656010500782457</v>
      </c>
      <c r="U58" s="15">
        <v>54.579966907500371</v>
      </c>
      <c r="V58" s="15">
        <v>54.206674968415427</v>
      </c>
      <c r="W58" s="15">
        <v>56.749208110508548</v>
      </c>
      <c r="X58" s="15">
        <v>58.118420450290202</v>
      </c>
    </row>
    <row r="59" spans="5:24" x14ac:dyDescent="0.3">
      <c r="E59" s="44"/>
      <c r="F59" s="44"/>
      <c r="G59" s="2" t="s">
        <v>10</v>
      </c>
      <c r="H59" s="15">
        <v>53.893779682417978</v>
      </c>
      <c r="I59" s="29">
        <v>54.234195461099688</v>
      </c>
      <c r="J59" s="29">
        <v>54.656010500782457</v>
      </c>
      <c r="K59" s="15">
        <v>54.579966907500371</v>
      </c>
      <c r="L59" s="15">
        <v>54.206674968415427</v>
      </c>
      <c r="M59" s="15">
        <v>56.749208110508548</v>
      </c>
      <c r="N59" s="15">
        <v>58.118420450290202</v>
      </c>
    </row>
    <row r="60" spans="5:24" x14ac:dyDescent="0.3">
      <c r="E60" s="44"/>
      <c r="F60" s="44"/>
      <c r="G60" s="2" t="s">
        <v>12</v>
      </c>
      <c r="H60" s="22">
        <v>3303</v>
      </c>
      <c r="I60" s="2">
        <v>4665</v>
      </c>
      <c r="J60" s="2">
        <v>5243</v>
      </c>
      <c r="K60" s="2">
        <v>6364</v>
      </c>
      <c r="L60" s="2">
        <v>8534</v>
      </c>
      <c r="M60" s="2">
        <v>10161</v>
      </c>
      <c r="N60" s="2">
        <v>8729</v>
      </c>
      <c r="P60">
        <f>CORREL(H59:N59,H62:N62)</f>
        <v>0.62804153068922641</v>
      </c>
    </row>
    <row r="61" spans="5:24" x14ac:dyDescent="0.3">
      <c r="E61" s="44"/>
      <c r="F61" s="44"/>
      <c r="G61" s="2" t="s">
        <v>13</v>
      </c>
      <c r="H61" s="15">
        <f>H60/5</f>
        <v>660.6</v>
      </c>
      <c r="I61" s="15">
        <f t="shared" ref="I61" si="13">I60/5</f>
        <v>933</v>
      </c>
      <c r="J61" s="15">
        <f t="shared" ref="J61" si="14">J60/5</f>
        <v>1048.5999999999999</v>
      </c>
      <c r="K61" s="15">
        <f t="shared" ref="K61" si="15">K60/5</f>
        <v>1272.8</v>
      </c>
      <c r="L61" s="15">
        <f t="shared" ref="L61" si="16">L60/5</f>
        <v>1706.8</v>
      </c>
      <c r="M61" s="15">
        <f t="shared" ref="M61" si="17">M60/5</f>
        <v>2032.2</v>
      </c>
      <c r="N61" s="15">
        <f>N60/4</f>
        <v>2182.25</v>
      </c>
    </row>
    <row r="62" spans="5:24" x14ac:dyDescent="0.3">
      <c r="E62" s="44"/>
      <c r="F62" s="44"/>
      <c r="G62" s="2" t="s">
        <v>11</v>
      </c>
      <c r="H62" s="7">
        <v>19.16393590553713</v>
      </c>
      <c r="I62" s="28">
        <v>23.046218092357925</v>
      </c>
      <c r="J62" s="28">
        <v>21.776543854325496</v>
      </c>
      <c r="K62" s="28">
        <v>26.527764081846069</v>
      </c>
      <c r="L62" s="28">
        <v>26.535289581905189</v>
      </c>
      <c r="M62" s="20">
        <v>28.024192620080807</v>
      </c>
      <c r="N62" s="28">
        <v>27.189532068829799</v>
      </c>
    </row>
    <row r="63" spans="5:24" x14ac:dyDescent="0.3">
      <c r="E63" s="44"/>
      <c r="F63" s="44"/>
      <c r="G63" s="2" t="s">
        <v>14</v>
      </c>
      <c r="H63" s="21">
        <v>20622629</v>
      </c>
      <c r="I63" s="21">
        <v>22875003</v>
      </c>
      <c r="J63" s="16">
        <v>25068886</v>
      </c>
      <c r="K63" s="16">
        <v>25068886</v>
      </c>
      <c r="L63" s="21">
        <v>27944624</v>
      </c>
      <c r="M63" s="21">
        <v>28888146</v>
      </c>
      <c r="N63" s="16">
        <v>23811233</v>
      </c>
    </row>
  </sheetData>
  <mergeCells count="30">
    <mergeCell ref="E26:F26"/>
    <mergeCell ref="G26:G27"/>
    <mergeCell ref="H26:M26"/>
    <mergeCell ref="E27:F33"/>
    <mergeCell ref="E56:F56"/>
    <mergeCell ref="G56:G57"/>
    <mergeCell ref="E57:F63"/>
    <mergeCell ref="E36:F36"/>
    <mergeCell ref="G36:G37"/>
    <mergeCell ref="E37:F43"/>
    <mergeCell ref="E46:F46"/>
    <mergeCell ref="G46:G47"/>
    <mergeCell ref="E47:F53"/>
    <mergeCell ref="E4:F4"/>
    <mergeCell ref="G4:G5"/>
    <mergeCell ref="H4:M4"/>
    <mergeCell ref="E5:F11"/>
    <mergeCell ref="E16:F16"/>
    <mergeCell ref="G16:G17"/>
    <mergeCell ref="H16:M16"/>
    <mergeCell ref="E17:F23"/>
    <mergeCell ref="Q37:Q38"/>
    <mergeCell ref="Q46:Q47"/>
    <mergeCell ref="Q56:Q57"/>
    <mergeCell ref="Q4:Q5"/>
    <mergeCell ref="R4:W4"/>
    <mergeCell ref="Q17:Q18"/>
    <mergeCell ref="R17:W17"/>
    <mergeCell ref="Q27:Q28"/>
    <mergeCell ref="R27:W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45AF-BB34-4231-ACF5-4B13DF6BE7F4}">
  <dimension ref="E3:X62"/>
  <sheetViews>
    <sheetView topLeftCell="D1" zoomScaleNormal="100" workbookViewId="0">
      <selection activeCell="H28" sqref="H28:M28"/>
    </sheetView>
  </sheetViews>
  <sheetFormatPr defaultRowHeight="14.4" x14ac:dyDescent="0.3"/>
  <cols>
    <col min="7" max="7" width="17.77734375" bestFit="1" customWidth="1"/>
    <col min="8" max="14" width="9.6640625" bestFit="1" customWidth="1"/>
    <col min="17" max="17" width="17.77734375" bestFit="1" customWidth="1"/>
  </cols>
  <sheetData>
    <row r="3" spans="5:23" x14ac:dyDescent="0.3">
      <c r="E3" s="43" t="s">
        <v>0</v>
      </c>
      <c r="F3" s="43"/>
      <c r="G3" s="36"/>
      <c r="H3" s="36" t="s">
        <v>23</v>
      </c>
      <c r="I3" s="36"/>
      <c r="J3" s="36"/>
      <c r="K3" s="36"/>
      <c r="L3" s="36"/>
      <c r="M3" s="36"/>
      <c r="Q3" s="36"/>
      <c r="R3" s="36" t="s">
        <v>23</v>
      </c>
      <c r="S3" s="36"/>
      <c r="T3" s="36"/>
      <c r="U3" s="36"/>
      <c r="V3" s="36"/>
      <c r="W3" s="36"/>
    </row>
    <row r="4" spans="5:23" x14ac:dyDescent="0.3">
      <c r="E4" s="44" t="s">
        <v>2</v>
      </c>
      <c r="F4" s="44"/>
      <c r="G4" s="36"/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Q4" s="36"/>
      <c r="R4" s="1" t="s">
        <v>3</v>
      </c>
      <c r="S4" s="1" t="s">
        <v>4</v>
      </c>
      <c r="T4" s="1" t="s">
        <v>5</v>
      </c>
      <c r="U4" s="1" t="s">
        <v>6</v>
      </c>
      <c r="V4" s="1" t="s">
        <v>7</v>
      </c>
      <c r="W4" s="1" t="s">
        <v>8</v>
      </c>
    </row>
    <row r="5" spans="5:23" x14ac:dyDescent="0.3">
      <c r="E5" s="44"/>
      <c r="F5" s="44"/>
      <c r="G5" s="2" t="s">
        <v>9</v>
      </c>
      <c r="H5" s="3">
        <v>48</v>
      </c>
      <c r="I5" s="3">
        <v>50</v>
      </c>
      <c r="J5" s="3">
        <v>50</v>
      </c>
      <c r="K5" s="3">
        <v>50</v>
      </c>
      <c r="L5" s="3">
        <v>53</v>
      </c>
      <c r="M5" s="3">
        <v>54</v>
      </c>
      <c r="N5" s="10"/>
      <c r="Q5" s="2" t="s">
        <v>10</v>
      </c>
      <c r="R5" s="4">
        <v>51.684292633679355</v>
      </c>
      <c r="S5" s="4">
        <v>52.692923426799418</v>
      </c>
      <c r="T5" s="4">
        <v>53.893275591873511</v>
      </c>
      <c r="U5" s="4">
        <v>53.994863263142861</v>
      </c>
      <c r="V5" s="4">
        <v>55.204241030801455</v>
      </c>
      <c r="W5" s="4">
        <v>55.519077332106129</v>
      </c>
    </row>
    <row r="6" spans="5:23" x14ac:dyDescent="0.3">
      <c r="E6" s="44"/>
      <c r="F6" s="44"/>
      <c r="G6" s="2" t="s">
        <v>10</v>
      </c>
      <c r="H6" s="4">
        <v>51.684292633679355</v>
      </c>
      <c r="I6" s="4">
        <v>52.692923426799418</v>
      </c>
      <c r="J6" s="4">
        <v>53.893275591873511</v>
      </c>
      <c r="K6" s="4">
        <v>53.994863263142861</v>
      </c>
      <c r="L6" s="4">
        <v>55.204241030801455</v>
      </c>
      <c r="M6" s="4">
        <v>55.519077332106129</v>
      </c>
      <c r="N6" s="10"/>
      <c r="O6">
        <f>CORREL(H6:M6,H9:M9)</f>
        <v>-0.97401126299490148</v>
      </c>
    </row>
    <row r="7" spans="5:23" x14ac:dyDescent="0.3">
      <c r="E7" s="44"/>
      <c r="F7" s="44"/>
      <c r="G7" s="2" t="s">
        <v>12</v>
      </c>
      <c r="H7" s="3">
        <v>3688</v>
      </c>
      <c r="I7" s="3">
        <v>3583</v>
      </c>
      <c r="J7" s="3">
        <v>3776</v>
      </c>
      <c r="K7" s="3">
        <v>4490</v>
      </c>
      <c r="L7" s="14">
        <v>4965</v>
      </c>
      <c r="M7" s="3">
        <v>2665</v>
      </c>
      <c r="N7" s="10"/>
    </row>
    <row r="8" spans="5:23" x14ac:dyDescent="0.3">
      <c r="E8" s="44"/>
      <c r="F8" s="44"/>
      <c r="G8" s="2" t="s">
        <v>13</v>
      </c>
      <c r="H8" s="4">
        <f>H7/5</f>
        <v>737.6</v>
      </c>
      <c r="I8" s="4">
        <f t="shared" ref="I8:L8" si="0">I7/5</f>
        <v>716.6</v>
      </c>
      <c r="J8" s="4">
        <f t="shared" si="0"/>
        <v>755.2</v>
      </c>
      <c r="K8" s="4">
        <f t="shared" si="0"/>
        <v>898</v>
      </c>
      <c r="L8" s="4">
        <f t="shared" si="0"/>
        <v>993</v>
      </c>
      <c r="M8" s="4">
        <f>M7/3</f>
        <v>888.33333333333337</v>
      </c>
      <c r="N8" s="10"/>
    </row>
    <row r="9" spans="5:23" x14ac:dyDescent="0.3">
      <c r="E9" s="44"/>
      <c r="F9" s="44"/>
      <c r="G9" s="2" t="s">
        <v>11</v>
      </c>
      <c r="H9" s="5">
        <v>22.148597269591395</v>
      </c>
      <c r="I9" s="5">
        <v>17.016050401816027</v>
      </c>
      <c r="J9" s="5">
        <v>14.188794654538743</v>
      </c>
      <c r="K9" s="5">
        <v>13.398234771356133</v>
      </c>
      <c r="L9" s="5">
        <v>11.989046070959484</v>
      </c>
      <c r="M9" s="5">
        <v>9.1884588205509985</v>
      </c>
      <c r="N9" s="10"/>
    </row>
    <row r="10" spans="5:23" x14ac:dyDescent="0.3">
      <c r="E10" s="44"/>
      <c r="F10" s="44"/>
      <c r="G10" s="2" t="s">
        <v>14</v>
      </c>
      <c r="H10" s="6">
        <v>20339480</v>
      </c>
      <c r="I10" s="6">
        <v>25032468</v>
      </c>
      <c r="J10" s="6">
        <v>30126564</v>
      </c>
      <c r="K10" s="6">
        <v>34506788</v>
      </c>
      <c r="L10" s="6">
        <v>39450421</v>
      </c>
      <c r="M10" s="6">
        <v>26333772</v>
      </c>
      <c r="N10" s="10"/>
    </row>
    <row r="11" spans="5:23" x14ac:dyDescent="0.3">
      <c r="H11" s="12"/>
      <c r="I11" s="12"/>
      <c r="J11" s="12"/>
      <c r="K11" s="12"/>
      <c r="L11" s="12"/>
      <c r="M11" s="12"/>
      <c r="N11" s="10"/>
    </row>
    <row r="12" spans="5:23" x14ac:dyDescent="0.3">
      <c r="H12" s="10"/>
      <c r="I12" s="10"/>
      <c r="J12" s="10"/>
      <c r="K12" s="10"/>
      <c r="L12" s="10"/>
      <c r="M12" s="10"/>
      <c r="N12" s="10"/>
    </row>
    <row r="13" spans="5:23" x14ac:dyDescent="0.3">
      <c r="H13" s="10"/>
      <c r="I13" s="10"/>
      <c r="J13" s="10"/>
      <c r="K13" s="10"/>
      <c r="L13" s="10"/>
      <c r="M13" s="10"/>
      <c r="N13" s="10"/>
    </row>
    <row r="14" spans="5:23" x14ac:dyDescent="0.3">
      <c r="H14" s="10"/>
      <c r="I14" s="10"/>
      <c r="J14" s="10"/>
      <c r="K14" s="10"/>
      <c r="L14" s="10"/>
      <c r="M14" s="10"/>
      <c r="N14" s="10"/>
    </row>
    <row r="15" spans="5:23" x14ac:dyDescent="0.3">
      <c r="E15" s="43" t="s">
        <v>0</v>
      </c>
      <c r="F15" s="43"/>
      <c r="G15" s="36"/>
      <c r="H15" s="36" t="s">
        <v>23</v>
      </c>
      <c r="I15" s="36"/>
      <c r="J15" s="36"/>
      <c r="K15" s="36"/>
      <c r="L15" s="36"/>
      <c r="M15" s="36"/>
      <c r="N15" s="10"/>
      <c r="Q15" s="36"/>
      <c r="R15" s="36" t="s">
        <v>23</v>
      </c>
      <c r="S15" s="36"/>
      <c r="T15" s="36"/>
      <c r="U15" s="36"/>
      <c r="V15" s="36"/>
      <c r="W15" s="36"/>
    </row>
    <row r="16" spans="5:23" x14ac:dyDescent="0.3">
      <c r="E16" s="44" t="s">
        <v>20</v>
      </c>
      <c r="F16" s="44"/>
      <c r="G16" s="36"/>
      <c r="H16" s="18" t="s">
        <v>3</v>
      </c>
      <c r="I16" s="18" t="s">
        <v>4</v>
      </c>
      <c r="J16" s="18" t="s">
        <v>5</v>
      </c>
      <c r="K16" s="18" t="s">
        <v>6</v>
      </c>
      <c r="L16" s="18" t="s">
        <v>7</v>
      </c>
      <c r="M16" s="18" t="s">
        <v>21</v>
      </c>
      <c r="N16" s="10"/>
      <c r="Q16" s="36"/>
      <c r="R16" s="18" t="s">
        <v>3</v>
      </c>
      <c r="S16" s="18" t="s">
        <v>4</v>
      </c>
      <c r="T16" s="18" t="s">
        <v>5</v>
      </c>
      <c r="U16" s="18" t="s">
        <v>6</v>
      </c>
      <c r="V16" s="18" t="s">
        <v>7</v>
      </c>
      <c r="W16" s="18" t="s">
        <v>21</v>
      </c>
    </row>
    <row r="17" spans="5:23" x14ac:dyDescent="0.3">
      <c r="E17" s="44"/>
      <c r="F17" s="44"/>
      <c r="G17" s="2" t="s">
        <v>9</v>
      </c>
      <c r="H17" s="3">
        <v>50</v>
      </c>
      <c r="I17" s="3">
        <v>51</v>
      </c>
      <c r="J17" s="3">
        <v>55</v>
      </c>
      <c r="K17" s="3">
        <v>55</v>
      </c>
      <c r="L17" s="3">
        <v>60</v>
      </c>
      <c r="M17" s="3">
        <v>60</v>
      </c>
      <c r="N17" s="10"/>
      <c r="Q17" s="2" t="s">
        <v>10</v>
      </c>
      <c r="R17" s="4">
        <v>51.091782065232721</v>
      </c>
      <c r="S17" s="4">
        <v>51.248544751989037</v>
      </c>
      <c r="T17" s="4">
        <v>53.613790508932297</v>
      </c>
      <c r="U17" s="4">
        <v>53.25158623059653</v>
      </c>
      <c r="V17" s="4">
        <v>56.272723781990969</v>
      </c>
      <c r="W17" s="4">
        <v>58.092535869855347</v>
      </c>
    </row>
    <row r="18" spans="5:23" x14ac:dyDescent="0.3">
      <c r="E18" s="44"/>
      <c r="F18" s="44"/>
      <c r="G18" s="2" t="s">
        <v>10</v>
      </c>
      <c r="H18" s="4">
        <v>51.091782065232721</v>
      </c>
      <c r="I18" s="4">
        <v>51.248544751989037</v>
      </c>
      <c r="J18" s="4">
        <v>53.613790508932297</v>
      </c>
      <c r="K18" s="4">
        <v>53.25158623059653</v>
      </c>
      <c r="L18" s="4">
        <v>56.272723781990969</v>
      </c>
      <c r="M18" s="4">
        <v>58.092535869855347</v>
      </c>
      <c r="N18" s="10"/>
    </row>
    <row r="19" spans="5:23" x14ac:dyDescent="0.3">
      <c r="E19" s="44"/>
      <c r="F19" s="44"/>
      <c r="G19" s="2" t="s">
        <v>12</v>
      </c>
      <c r="H19" s="10">
        <v>280</v>
      </c>
      <c r="I19" s="14">
        <v>246</v>
      </c>
      <c r="J19" s="14">
        <v>227</v>
      </c>
      <c r="K19" s="14">
        <v>231</v>
      </c>
      <c r="L19" s="14">
        <v>216</v>
      </c>
      <c r="M19" s="14">
        <v>191</v>
      </c>
      <c r="N19" s="10"/>
      <c r="O19">
        <f>CORREL(H18:M18,H21:M21)</f>
        <v>-0.88066456304833651</v>
      </c>
    </row>
    <row r="20" spans="5:23" x14ac:dyDescent="0.3">
      <c r="E20" s="44"/>
      <c r="F20" s="44"/>
      <c r="G20" s="2" t="s">
        <v>13</v>
      </c>
      <c r="H20" s="23">
        <f>H19/5</f>
        <v>56</v>
      </c>
      <c r="I20" s="23">
        <f t="shared" ref="I20:M20" si="1">I19/5</f>
        <v>49.2</v>
      </c>
      <c r="J20" s="23">
        <f t="shared" si="1"/>
        <v>45.4</v>
      </c>
      <c r="K20" s="23">
        <f t="shared" si="1"/>
        <v>46.2</v>
      </c>
      <c r="L20" s="23">
        <f t="shared" si="1"/>
        <v>43.2</v>
      </c>
      <c r="M20" s="23">
        <f t="shared" si="1"/>
        <v>38.200000000000003</v>
      </c>
      <c r="N20" s="10"/>
    </row>
    <row r="21" spans="5:23" x14ac:dyDescent="0.3">
      <c r="E21" s="44"/>
      <c r="F21" s="44"/>
      <c r="G21" s="2" t="s">
        <v>11</v>
      </c>
      <c r="H21" s="25">
        <v>25.49999658923463</v>
      </c>
      <c r="I21" s="25">
        <v>20.098131049314134</v>
      </c>
      <c r="J21" s="25">
        <v>20.562320589223713</v>
      </c>
      <c r="K21" s="12">
        <v>20.399854816617669</v>
      </c>
      <c r="L21" s="25">
        <v>18.191863520597231</v>
      </c>
      <c r="M21" s="25">
        <v>10.32805565929703</v>
      </c>
      <c r="N21" s="10"/>
    </row>
    <row r="22" spans="5:23" x14ac:dyDescent="0.3">
      <c r="E22" s="44"/>
      <c r="F22" s="44"/>
      <c r="G22" s="2" t="s">
        <v>14</v>
      </c>
      <c r="H22" s="14">
        <v>1100448</v>
      </c>
      <c r="I22" s="24">
        <v>1149747</v>
      </c>
      <c r="J22" s="24">
        <v>1103961</v>
      </c>
      <c r="K22" s="24">
        <v>1132361</v>
      </c>
      <c r="L22" s="24">
        <v>1187344</v>
      </c>
      <c r="M22" s="24">
        <v>1244995</v>
      </c>
      <c r="N22" s="10"/>
    </row>
    <row r="23" spans="5:23" x14ac:dyDescent="0.3">
      <c r="H23" s="10"/>
      <c r="I23" s="10"/>
      <c r="J23" s="10"/>
      <c r="K23" s="10"/>
      <c r="L23" s="10"/>
      <c r="M23" s="10"/>
      <c r="N23" s="10"/>
    </row>
    <row r="24" spans="5:23" x14ac:dyDescent="0.3">
      <c r="H24" s="10"/>
      <c r="I24" s="10"/>
      <c r="J24" s="10"/>
      <c r="K24" s="10"/>
      <c r="L24" s="10"/>
      <c r="M24" s="10"/>
      <c r="N24" s="10"/>
    </row>
    <row r="25" spans="5:23" x14ac:dyDescent="0.3">
      <c r="E25" s="43" t="s">
        <v>0</v>
      </c>
      <c r="F25" s="43"/>
      <c r="G25" s="36"/>
      <c r="H25" s="36" t="s">
        <v>23</v>
      </c>
      <c r="I25" s="36"/>
      <c r="J25" s="36"/>
      <c r="K25" s="36"/>
      <c r="L25" s="36"/>
      <c r="M25" s="36"/>
      <c r="N25" s="10"/>
    </row>
    <row r="26" spans="5:23" x14ac:dyDescent="0.3">
      <c r="E26" s="44" t="s">
        <v>22</v>
      </c>
      <c r="F26" s="44"/>
      <c r="G26" s="36"/>
      <c r="H26" s="18" t="s">
        <v>3</v>
      </c>
      <c r="I26" s="18" t="s">
        <v>4</v>
      </c>
      <c r="J26" s="18" t="s">
        <v>5</v>
      </c>
      <c r="K26" s="18" t="s">
        <v>6</v>
      </c>
      <c r="L26" s="18" t="s">
        <v>7</v>
      </c>
      <c r="M26" s="18" t="s">
        <v>21</v>
      </c>
      <c r="N26" s="10"/>
      <c r="Q26" s="36"/>
      <c r="R26" s="36" t="s">
        <v>23</v>
      </c>
      <c r="S26" s="36"/>
      <c r="T26" s="36"/>
      <c r="U26" s="36"/>
      <c r="V26" s="36"/>
      <c r="W26" s="36"/>
    </row>
    <row r="27" spans="5:23" x14ac:dyDescent="0.3">
      <c r="E27" s="44"/>
      <c r="F27" s="44"/>
      <c r="G27" s="2" t="s">
        <v>9</v>
      </c>
      <c r="H27" s="3">
        <v>48</v>
      </c>
      <c r="I27" s="3">
        <v>50</v>
      </c>
      <c r="J27" s="3">
        <v>50</v>
      </c>
      <c r="K27" s="3">
        <v>50</v>
      </c>
      <c r="L27" s="3">
        <v>52</v>
      </c>
      <c r="M27" s="3">
        <v>53</v>
      </c>
      <c r="N27" s="10"/>
      <c r="Q27" s="36"/>
      <c r="R27" s="18" t="s">
        <v>3</v>
      </c>
      <c r="S27" s="18" t="s">
        <v>4</v>
      </c>
      <c r="T27" s="18" t="s">
        <v>5</v>
      </c>
      <c r="U27" s="18" t="s">
        <v>6</v>
      </c>
      <c r="V27" s="18" t="s">
        <v>7</v>
      </c>
      <c r="W27" s="18" t="s">
        <v>21</v>
      </c>
    </row>
    <row r="28" spans="5:23" x14ac:dyDescent="0.3">
      <c r="E28" s="44"/>
      <c r="F28" s="44"/>
      <c r="G28" s="2" t="s">
        <v>10</v>
      </c>
      <c r="H28" s="4">
        <v>51.50612878521892</v>
      </c>
      <c r="I28" s="4">
        <v>54.269769250488778</v>
      </c>
      <c r="J28" s="4">
        <v>54.067146466756434</v>
      </c>
      <c r="K28" s="4">
        <v>53.936475560380238</v>
      </c>
      <c r="L28" s="4">
        <v>55.476112283886323</v>
      </c>
      <c r="M28" s="4">
        <v>54.386997094962346</v>
      </c>
      <c r="N28" s="10"/>
      <c r="O28">
        <f>CORREL(H28:M28,H31:M31)</f>
        <v>-0.68182349147242449</v>
      </c>
      <c r="Q28" s="2" t="s">
        <v>10</v>
      </c>
      <c r="R28" s="4">
        <v>51.50612878521892</v>
      </c>
      <c r="S28" s="4">
        <v>54.269769250488778</v>
      </c>
      <c r="T28" s="4">
        <v>54.067146466756434</v>
      </c>
      <c r="U28" s="4">
        <v>53.936475560380238</v>
      </c>
      <c r="V28" s="4">
        <v>55.476112283886323</v>
      </c>
      <c r="W28" s="4">
        <v>54.386997094962346</v>
      </c>
    </row>
    <row r="29" spans="5:23" x14ac:dyDescent="0.3">
      <c r="E29" s="44"/>
      <c r="F29" s="44"/>
      <c r="G29" s="2" t="s">
        <v>12</v>
      </c>
      <c r="H29" s="14">
        <v>368</v>
      </c>
      <c r="I29" s="14">
        <v>426</v>
      </c>
      <c r="J29" s="14">
        <v>480</v>
      </c>
      <c r="K29" s="14">
        <v>553</v>
      </c>
      <c r="L29" s="14">
        <v>555</v>
      </c>
      <c r="M29" s="14">
        <v>562</v>
      </c>
      <c r="N29" s="10"/>
    </row>
    <row r="30" spans="5:23" x14ac:dyDescent="0.3">
      <c r="E30" s="44"/>
      <c r="F30" s="44"/>
      <c r="G30" s="2" t="s">
        <v>13</v>
      </c>
      <c r="H30" s="23">
        <f>H29/5</f>
        <v>73.599999999999994</v>
      </c>
      <c r="I30" s="23">
        <f t="shared" ref="I30:M30" si="2">I29/5</f>
        <v>85.2</v>
      </c>
      <c r="J30" s="23">
        <f t="shared" si="2"/>
        <v>96</v>
      </c>
      <c r="K30" s="23">
        <f t="shared" si="2"/>
        <v>110.6</v>
      </c>
      <c r="L30" s="23">
        <f t="shared" si="2"/>
        <v>111</v>
      </c>
      <c r="M30" s="23">
        <f t="shared" si="2"/>
        <v>112.4</v>
      </c>
      <c r="N30" s="10"/>
    </row>
    <row r="31" spans="5:23" x14ac:dyDescent="0.3">
      <c r="E31" s="44"/>
      <c r="F31" s="44"/>
      <c r="G31" s="2" t="s">
        <v>11</v>
      </c>
      <c r="H31" s="25">
        <v>18.288986828686056</v>
      </c>
      <c r="I31" s="25">
        <v>17.194026533507071</v>
      </c>
      <c r="J31" s="25">
        <v>15.444000000000001</v>
      </c>
      <c r="K31" s="12">
        <v>14.02881877063739</v>
      </c>
      <c r="L31" s="25">
        <v>11.443574227692405</v>
      </c>
      <c r="M31" s="25">
        <v>9.4330026181477837</v>
      </c>
      <c r="N31" s="10"/>
    </row>
    <row r="32" spans="5:23" x14ac:dyDescent="0.3">
      <c r="E32" s="44"/>
      <c r="F32" s="44"/>
      <c r="G32" s="2" t="s">
        <v>14</v>
      </c>
      <c r="H32" s="11">
        <v>2658384</v>
      </c>
      <c r="I32" s="11">
        <v>3123604</v>
      </c>
      <c r="J32" s="11">
        <v>3636214</v>
      </c>
      <c r="K32" s="11">
        <v>4164525</v>
      </c>
      <c r="L32" s="24">
        <v>4766691</v>
      </c>
      <c r="M32" s="11">
        <v>5455919</v>
      </c>
      <c r="N32" s="10"/>
    </row>
    <row r="35" spans="5:24" x14ac:dyDescent="0.3">
      <c r="E35" s="43" t="s">
        <v>0</v>
      </c>
      <c r="F35" s="43"/>
      <c r="G35" s="36"/>
      <c r="H35" s="31" t="s">
        <v>23</v>
      </c>
      <c r="I35" s="32"/>
      <c r="J35" s="32"/>
      <c r="K35" s="32"/>
      <c r="L35" s="32"/>
      <c r="M35" s="32"/>
      <c r="N35" s="33"/>
      <c r="Q35" s="36"/>
      <c r="R35" s="31" t="s">
        <v>23</v>
      </c>
      <c r="S35" s="32"/>
      <c r="T35" s="32"/>
      <c r="U35" s="32"/>
      <c r="V35" s="32"/>
      <c r="W35" s="32"/>
      <c r="X35" s="33"/>
    </row>
    <row r="36" spans="5:24" x14ac:dyDescent="0.3">
      <c r="E36" s="44" t="s">
        <v>15</v>
      </c>
      <c r="F36" s="44"/>
      <c r="G36" s="36"/>
      <c r="H36" s="18" t="s">
        <v>16</v>
      </c>
      <c r="I36" s="18" t="s">
        <v>3</v>
      </c>
      <c r="J36" s="18" t="s">
        <v>4</v>
      </c>
      <c r="K36" s="18" t="s">
        <v>5</v>
      </c>
      <c r="L36" s="18" t="s">
        <v>6</v>
      </c>
      <c r="M36" s="18" t="s">
        <v>7</v>
      </c>
      <c r="N36" s="18" t="s">
        <v>17</v>
      </c>
      <c r="Q36" s="36"/>
      <c r="R36" s="18" t="s">
        <v>16</v>
      </c>
      <c r="S36" s="18" t="s">
        <v>3</v>
      </c>
      <c r="T36" s="18" t="s">
        <v>4</v>
      </c>
      <c r="U36" s="18" t="s">
        <v>5</v>
      </c>
      <c r="V36" s="18" t="s">
        <v>6</v>
      </c>
      <c r="W36" s="18" t="s">
        <v>7</v>
      </c>
      <c r="X36" s="18" t="s">
        <v>17</v>
      </c>
    </row>
    <row r="37" spans="5:24" x14ac:dyDescent="0.3">
      <c r="E37" s="44"/>
      <c r="F37" s="44"/>
      <c r="G37" s="2" t="s">
        <v>9</v>
      </c>
      <c r="H37" s="3">
        <v>50</v>
      </c>
      <c r="I37" s="3">
        <v>50</v>
      </c>
      <c r="J37" s="3">
        <v>50</v>
      </c>
      <c r="K37" s="3">
        <v>52</v>
      </c>
      <c r="L37" s="3">
        <v>53</v>
      </c>
      <c r="M37" s="3">
        <v>55</v>
      </c>
      <c r="N37" s="3">
        <v>55</v>
      </c>
      <c r="Q37" s="2" t="s">
        <v>10</v>
      </c>
      <c r="R37" s="4">
        <v>52.09465409435839</v>
      </c>
      <c r="S37" s="4">
        <v>53.590645199124211</v>
      </c>
      <c r="T37" s="23">
        <v>54.73685847638658</v>
      </c>
      <c r="U37" s="4">
        <v>56.012534640363214</v>
      </c>
      <c r="V37" s="4">
        <v>55.438674416909187</v>
      </c>
      <c r="W37" s="4">
        <v>56.359740924774925</v>
      </c>
      <c r="X37" s="4">
        <v>57.387030063293501</v>
      </c>
    </row>
    <row r="38" spans="5:24" x14ac:dyDescent="0.3">
      <c r="E38" s="44"/>
      <c r="F38" s="44"/>
      <c r="G38" s="2" t="s">
        <v>10</v>
      </c>
      <c r="H38" s="4">
        <v>52.09465409435839</v>
      </c>
      <c r="I38" s="4">
        <v>53.590645199124211</v>
      </c>
      <c r="J38" s="23">
        <v>54.73685847638658</v>
      </c>
      <c r="K38" s="4">
        <v>56.012534640363214</v>
      </c>
      <c r="L38" s="4">
        <v>55.438674416909187</v>
      </c>
      <c r="M38" s="4">
        <v>56.359740924774925</v>
      </c>
      <c r="N38" s="4">
        <v>57.387030063293501</v>
      </c>
    </row>
    <row r="39" spans="5:24" x14ac:dyDescent="0.3">
      <c r="E39" s="44"/>
      <c r="F39" s="44"/>
      <c r="G39" s="2" t="s">
        <v>12</v>
      </c>
      <c r="H39" s="3">
        <v>1560</v>
      </c>
      <c r="I39" s="3">
        <v>1845</v>
      </c>
      <c r="J39" s="3">
        <v>1721</v>
      </c>
      <c r="K39" s="3">
        <v>2023</v>
      </c>
      <c r="L39" s="3">
        <v>2605</v>
      </c>
      <c r="M39" s="3">
        <v>3020</v>
      </c>
      <c r="N39" s="3">
        <v>2309</v>
      </c>
      <c r="P39">
        <f>CORREL(H38:N38,H41:N41)</f>
        <v>-0.96689914012803135</v>
      </c>
    </row>
    <row r="40" spans="5:24" x14ac:dyDescent="0.3">
      <c r="E40" s="44"/>
      <c r="F40" s="44"/>
      <c r="G40" s="2" t="s">
        <v>13</v>
      </c>
      <c r="H40" s="4">
        <f>H39/5</f>
        <v>312</v>
      </c>
      <c r="I40" s="4">
        <f t="shared" ref="I40" si="3">I39/5</f>
        <v>369</v>
      </c>
      <c r="J40" s="4">
        <f t="shared" ref="J40" si="4">J39/5</f>
        <v>344.2</v>
      </c>
      <c r="K40" s="4">
        <f t="shared" ref="K40" si="5">K39/5</f>
        <v>404.6</v>
      </c>
      <c r="L40" s="4">
        <f t="shared" ref="L40" si="6">L39/5</f>
        <v>521</v>
      </c>
      <c r="M40" s="4">
        <f t="shared" ref="M40" si="7">M39/5</f>
        <v>604</v>
      </c>
      <c r="N40" s="4">
        <f>N39/4</f>
        <v>577.25</v>
      </c>
    </row>
    <row r="41" spans="5:24" x14ac:dyDescent="0.3">
      <c r="E41" s="44"/>
      <c r="F41" s="44"/>
      <c r="G41" s="2" t="s">
        <v>11</v>
      </c>
      <c r="H41" s="5">
        <v>22.207083435460298</v>
      </c>
      <c r="I41" s="5">
        <v>21.619140886374154</v>
      </c>
      <c r="J41" s="5">
        <v>16.114682092652878</v>
      </c>
      <c r="K41" s="5">
        <v>15.076432795727676</v>
      </c>
      <c r="L41" s="5">
        <v>15.140539317776943</v>
      </c>
      <c r="M41" s="9">
        <v>14.029953902137139</v>
      </c>
      <c r="N41" s="5">
        <v>10.966129263571892</v>
      </c>
    </row>
    <row r="42" spans="5:24" x14ac:dyDescent="0.3">
      <c r="E42" s="44"/>
      <c r="F42" s="44"/>
      <c r="G42" s="2" t="s">
        <v>14</v>
      </c>
      <c r="H42" s="6">
        <v>8966108</v>
      </c>
      <c r="I42" s="6">
        <v>10336582</v>
      </c>
      <c r="J42" s="6">
        <v>12122651</v>
      </c>
      <c r="K42" s="6">
        <v>14261397</v>
      </c>
      <c r="L42" s="6">
        <v>17029916</v>
      </c>
      <c r="M42" s="6">
        <v>20360277</v>
      </c>
      <c r="N42" s="6">
        <v>19119658</v>
      </c>
    </row>
    <row r="43" spans="5:24" x14ac:dyDescent="0.3">
      <c r="H43" s="10"/>
      <c r="I43" s="10"/>
      <c r="J43" s="10"/>
      <c r="K43" s="10"/>
      <c r="L43" s="10"/>
      <c r="M43" s="10"/>
      <c r="N43" s="10"/>
    </row>
    <row r="44" spans="5:24" x14ac:dyDescent="0.3">
      <c r="H44" s="10"/>
      <c r="I44" s="10"/>
      <c r="J44" s="10"/>
      <c r="K44" s="10"/>
      <c r="L44" s="10"/>
      <c r="M44" s="10"/>
      <c r="N44" s="10"/>
    </row>
    <row r="45" spans="5:24" x14ac:dyDescent="0.3">
      <c r="E45" s="43" t="s">
        <v>0</v>
      </c>
      <c r="F45" s="43"/>
      <c r="G45" s="36"/>
      <c r="H45" s="31" t="s">
        <v>23</v>
      </c>
      <c r="I45" s="32"/>
      <c r="J45" s="32"/>
      <c r="K45" s="32"/>
      <c r="L45" s="32"/>
      <c r="M45" s="32"/>
      <c r="N45" s="33"/>
    </row>
    <row r="46" spans="5:24" x14ac:dyDescent="0.3">
      <c r="E46" s="44" t="s">
        <v>18</v>
      </c>
      <c r="F46" s="44"/>
      <c r="G46" s="36"/>
      <c r="H46" s="18" t="s">
        <v>16</v>
      </c>
      <c r="I46" s="18" t="s">
        <v>3</v>
      </c>
      <c r="J46" s="18" t="s">
        <v>4</v>
      </c>
      <c r="K46" s="18" t="s">
        <v>5</v>
      </c>
      <c r="L46" s="18" t="s">
        <v>6</v>
      </c>
      <c r="M46" s="18" t="s">
        <v>7</v>
      </c>
      <c r="N46" s="18" t="s">
        <v>17</v>
      </c>
      <c r="Q46" s="36"/>
      <c r="R46" s="31" t="s">
        <v>23</v>
      </c>
      <c r="S46" s="32"/>
      <c r="T46" s="32"/>
      <c r="U46" s="32"/>
      <c r="V46" s="32"/>
      <c r="W46" s="32"/>
      <c r="X46" s="33"/>
    </row>
    <row r="47" spans="5:24" x14ac:dyDescent="0.3">
      <c r="E47" s="44"/>
      <c r="F47" s="44"/>
      <c r="G47" s="2" t="s">
        <v>9</v>
      </c>
      <c r="H47" s="3">
        <v>50</v>
      </c>
      <c r="I47" s="3">
        <v>50</v>
      </c>
      <c r="J47" s="3">
        <v>50</v>
      </c>
      <c r="K47" s="3">
        <v>53</v>
      </c>
      <c r="L47" s="3">
        <v>55</v>
      </c>
      <c r="M47" s="3">
        <v>55</v>
      </c>
      <c r="N47" s="3">
        <v>58</v>
      </c>
      <c r="Q47" s="36"/>
      <c r="R47" s="18" t="s">
        <v>16</v>
      </c>
      <c r="S47" s="18" t="s">
        <v>3</v>
      </c>
      <c r="T47" s="18" t="s">
        <v>4</v>
      </c>
      <c r="U47" s="18" t="s">
        <v>5</v>
      </c>
      <c r="V47" s="18" t="s">
        <v>6</v>
      </c>
      <c r="W47" s="18" t="s">
        <v>7</v>
      </c>
      <c r="X47" s="18" t="s">
        <v>17</v>
      </c>
    </row>
    <row r="48" spans="5:24" x14ac:dyDescent="0.3">
      <c r="E48" s="44"/>
      <c r="F48" s="44"/>
      <c r="G48" s="2" t="s">
        <v>10</v>
      </c>
      <c r="H48" s="3">
        <v>52</v>
      </c>
      <c r="I48" s="3">
        <v>54</v>
      </c>
      <c r="J48" s="3">
        <v>55</v>
      </c>
      <c r="K48" s="3">
        <v>56</v>
      </c>
      <c r="L48" s="3">
        <v>57</v>
      </c>
      <c r="M48" s="3">
        <v>59</v>
      </c>
      <c r="N48" s="3">
        <v>59</v>
      </c>
      <c r="Q48" s="2" t="s">
        <v>10</v>
      </c>
      <c r="R48" s="3">
        <v>52</v>
      </c>
      <c r="S48" s="3">
        <v>54</v>
      </c>
      <c r="T48" s="3">
        <v>55</v>
      </c>
      <c r="U48" s="3">
        <v>56</v>
      </c>
      <c r="V48" s="3">
        <v>57</v>
      </c>
      <c r="W48" s="3">
        <v>59</v>
      </c>
      <c r="X48" s="3">
        <v>59</v>
      </c>
    </row>
    <row r="49" spans="5:24" x14ac:dyDescent="0.3">
      <c r="E49" s="44"/>
      <c r="F49" s="44"/>
      <c r="G49" s="2" t="s">
        <v>12</v>
      </c>
      <c r="H49" s="3">
        <v>2924</v>
      </c>
      <c r="I49" s="3">
        <v>2425</v>
      </c>
      <c r="J49" s="3">
        <v>2386</v>
      </c>
      <c r="K49" s="3">
        <v>2416</v>
      </c>
      <c r="L49" s="3">
        <v>2018</v>
      </c>
      <c r="M49" s="3">
        <v>2024</v>
      </c>
      <c r="N49" s="3">
        <v>1306</v>
      </c>
      <c r="P49">
        <f>CORREL(H48:N48,H51:N51)</f>
        <v>-0.97946750583577968</v>
      </c>
    </row>
    <row r="50" spans="5:24" x14ac:dyDescent="0.3">
      <c r="E50" s="44"/>
      <c r="F50" s="44"/>
      <c r="G50" s="2" t="s">
        <v>13</v>
      </c>
      <c r="H50" s="3">
        <f>H49/5</f>
        <v>584.79999999999995</v>
      </c>
      <c r="I50" s="3">
        <f t="shared" ref="I50" si="8">I49/5</f>
        <v>485</v>
      </c>
      <c r="J50" s="3">
        <f t="shared" ref="J50" si="9">J49/5</f>
        <v>477.2</v>
      </c>
      <c r="K50" s="3">
        <f t="shared" ref="K50" si="10">K49/5</f>
        <v>483.2</v>
      </c>
      <c r="L50" s="3">
        <f t="shared" ref="L50" si="11">L49/5</f>
        <v>403.6</v>
      </c>
      <c r="M50" s="3">
        <f t="shared" ref="M50" si="12">M49/5</f>
        <v>404.8</v>
      </c>
      <c r="N50" s="3">
        <f>N49/4</f>
        <v>326.5</v>
      </c>
    </row>
    <row r="51" spans="5:24" x14ac:dyDescent="0.3">
      <c r="E51" s="44"/>
      <c r="F51" s="44"/>
      <c r="G51" s="2" t="s">
        <v>11</v>
      </c>
      <c r="H51" s="34">
        <v>35.997845488866986</v>
      </c>
      <c r="I51" s="5">
        <v>26.367189203610256</v>
      </c>
      <c r="J51" s="5">
        <v>22.782667972492185</v>
      </c>
      <c r="K51" s="5">
        <v>20.261091999471429</v>
      </c>
      <c r="L51" s="5">
        <v>14.847405854479575</v>
      </c>
      <c r="M51" s="9">
        <v>13.190328153869007</v>
      </c>
      <c r="N51" s="5">
        <v>9.5755666553028469</v>
      </c>
    </row>
    <row r="52" spans="5:24" x14ac:dyDescent="0.3">
      <c r="E52" s="44"/>
      <c r="F52" s="44"/>
      <c r="G52" s="2" t="s">
        <v>14</v>
      </c>
      <c r="H52" s="26">
        <v>8752703</v>
      </c>
      <c r="I52" s="14">
        <v>9443423</v>
      </c>
      <c r="J52" s="14">
        <v>10107968</v>
      </c>
      <c r="K52" s="14">
        <v>10734123</v>
      </c>
      <c r="L52" s="14">
        <v>11203632</v>
      </c>
      <c r="M52" s="14">
        <v>11685846</v>
      </c>
      <c r="N52" s="14">
        <v>9709793</v>
      </c>
    </row>
    <row r="53" spans="5:24" x14ac:dyDescent="0.3">
      <c r="H53" s="10"/>
      <c r="I53" s="10"/>
      <c r="J53" s="10"/>
      <c r="K53" s="10"/>
      <c r="L53" s="10"/>
      <c r="M53" s="10"/>
      <c r="N53" s="10"/>
    </row>
    <row r="54" spans="5:24" x14ac:dyDescent="0.3">
      <c r="H54" s="10"/>
      <c r="I54" s="10"/>
      <c r="J54" s="10"/>
      <c r="K54" s="10"/>
      <c r="L54" s="10"/>
      <c r="M54" s="10"/>
      <c r="N54" s="10"/>
    </row>
    <row r="55" spans="5:24" x14ac:dyDescent="0.3">
      <c r="E55" s="43" t="s">
        <v>0</v>
      </c>
      <c r="F55" s="43"/>
      <c r="G55" s="45"/>
      <c r="H55" s="31" t="s">
        <v>23</v>
      </c>
      <c r="I55" s="32"/>
      <c r="J55" s="32"/>
      <c r="K55" s="32"/>
      <c r="L55" s="32"/>
      <c r="M55" s="32"/>
      <c r="N55" s="33"/>
      <c r="Q55" s="45"/>
      <c r="R55" s="31" t="s">
        <v>23</v>
      </c>
      <c r="S55" s="32"/>
      <c r="T55" s="32"/>
      <c r="U55" s="32"/>
      <c r="V55" s="32"/>
      <c r="W55" s="32"/>
      <c r="X55" s="33"/>
    </row>
    <row r="56" spans="5:24" x14ac:dyDescent="0.3">
      <c r="E56" s="44" t="s">
        <v>19</v>
      </c>
      <c r="F56" s="44"/>
      <c r="G56" s="46"/>
      <c r="H56" s="18" t="s">
        <v>16</v>
      </c>
      <c r="I56" s="18" t="s">
        <v>3</v>
      </c>
      <c r="J56" s="18" t="s">
        <v>4</v>
      </c>
      <c r="K56" s="18" t="s">
        <v>5</v>
      </c>
      <c r="L56" s="18" t="s">
        <v>6</v>
      </c>
      <c r="M56" s="18" t="s">
        <v>7</v>
      </c>
      <c r="N56" s="18" t="s">
        <v>17</v>
      </c>
      <c r="Q56" s="46"/>
      <c r="R56" s="18" t="s">
        <v>16</v>
      </c>
      <c r="S56" s="18" t="s">
        <v>3</v>
      </c>
      <c r="T56" s="18" t="s">
        <v>4</v>
      </c>
      <c r="U56" s="18" t="s">
        <v>5</v>
      </c>
      <c r="V56" s="18" t="s">
        <v>6</v>
      </c>
      <c r="W56" s="18" t="s">
        <v>7</v>
      </c>
      <c r="X56" s="18" t="s">
        <v>17</v>
      </c>
    </row>
    <row r="57" spans="5:24" x14ac:dyDescent="0.3">
      <c r="E57" s="44"/>
      <c r="F57" s="44"/>
      <c r="G57" s="2" t="s">
        <v>9</v>
      </c>
      <c r="H57" s="3">
        <v>50</v>
      </c>
      <c r="I57" s="3">
        <v>50</v>
      </c>
      <c r="J57" s="3">
        <v>50</v>
      </c>
      <c r="K57" s="3">
        <v>50</v>
      </c>
      <c r="L57" s="3">
        <v>51</v>
      </c>
      <c r="M57" s="3">
        <v>55</v>
      </c>
      <c r="N57" s="3">
        <v>55</v>
      </c>
      <c r="Q57" s="2" t="s">
        <v>10</v>
      </c>
      <c r="R57" s="4">
        <v>52.764586424199187</v>
      </c>
      <c r="S57" s="4">
        <v>52.668155786614911</v>
      </c>
      <c r="T57" s="4">
        <v>53.842718761534172</v>
      </c>
      <c r="U57" s="4">
        <v>54.300438657410581</v>
      </c>
      <c r="V57" s="4">
        <v>53.653189295061068</v>
      </c>
      <c r="W57" s="4">
        <v>55.968304135092545</v>
      </c>
      <c r="X57" s="4">
        <v>57.387030063293501</v>
      </c>
    </row>
    <row r="58" spans="5:24" x14ac:dyDescent="0.3">
      <c r="E58" s="44"/>
      <c r="F58" s="44"/>
      <c r="G58" s="2" t="s">
        <v>10</v>
      </c>
      <c r="H58" s="4">
        <v>52.764586424199187</v>
      </c>
      <c r="I58" s="4">
        <v>52.668155786614911</v>
      </c>
      <c r="J58" s="4">
        <v>53.842718761534172</v>
      </c>
      <c r="K58" s="4">
        <v>54.300438657410581</v>
      </c>
      <c r="L58" s="4">
        <v>53.653189295061068</v>
      </c>
      <c r="M58" s="4">
        <v>55.968304135092545</v>
      </c>
      <c r="N58" s="4">
        <v>57.387030063293501</v>
      </c>
      <c r="P58">
        <f>CORREL(H58:N58,H61:N61)</f>
        <v>-0.95044069877581316</v>
      </c>
    </row>
    <row r="59" spans="5:24" x14ac:dyDescent="0.3">
      <c r="E59" s="44"/>
      <c r="F59" s="44"/>
      <c r="G59" s="2" t="s">
        <v>12</v>
      </c>
      <c r="H59" s="14">
        <v>2610</v>
      </c>
      <c r="I59" s="3">
        <v>2962</v>
      </c>
      <c r="J59" s="3">
        <v>3009</v>
      </c>
      <c r="K59" s="3">
        <v>3095</v>
      </c>
      <c r="L59" s="3">
        <v>3442</v>
      </c>
      <c r="M59" s="3">
        <v>2639</v>
      </c>
      <c r="N59" s="3">
        <v>1821</v>
      </c>
    </row>
    <row r="60" spans="5:24" x14ac:dyDescent="0.3">
      <c r="E60" s="44"/>
      <c r="F60" s="44"/>
      <c r="G60" s="2" t="s">
        <v>13</v>
      </c>
      <c r="H60" s="4">
        <f>H59/5</f>
        <v>522</v>
      </c>
      <c r="I60" s="4">
        <f t="shared" ref="I60" si="13">I59/5</f>
        <v>592.4</v>
      </c>
      <c r="J60" s="4">
        <f t="shared" ref="J60" si="14">J59/5</f>
        <v>601.79999999999995</v>
      </c>
      <c r="K60" s="4">
        <f t="shared" ref="K60" si="15">K59/5</f>
        <v>619</v>
      </c>
      <c r="L60" s="4">
        <f t="shared" ref="L60" si="16">L59/5</f>
        <v>688.4</v>
      </c>
      <c r="M60" s="4">
        <f t="shared" ref="M60" si="17">M59/5</f>
        <v>527.79999999999995</v>
      </c>
      <c r="N60" s="4">
        <f>N59/4</f>
        <v>455.25</v>
      </c>
    </row>
    <row r="61" spans="5:24" x14ac:dyDescent="0.3">
      <c r="E61" s="44"/>
      <c r="F61" s="44"/>
      <c r="G61" s="2" t="s">
        <v>11</v>
      </c>
      <c r="H61" s="12">
        <v>14.892157835294432</v>
      </c>
      <c r="I61" s="13">
        <v>14.404283128050269</v>
      </c>
      <c r="J61" s="13">
        <v>12.501224838230321</v>
      </c>
      <c r="K61" s="13">
        <v>12.922079470838735</v>
      </c>
      <c r="L61" s="13">
        <v>10.723857914880922</v>
      </c>
      <c r="M61" s="9">
        <v>7.3062220664190196</v>
      </c>
      <c r="N61" s="13">
        <v>5.6970930045354846</v>
      </c>
    </row>
    <row r="62" spans="5:24" x14ac:dyDescent="0.3">
      <c r="E62" s="44"/>
      <c r="F62" s="44"/>
      <c r="G62" s="2" t="s">
        <v>14</v>
      </c>
      <c r="H62" s="6">
        <v>20622629</v>
      </c>
      <c r="I62" s="6">
        <v>22875003</v>
      </c>
      <c r="J62" s="11">
        <v>25068886</v>
      </c>
      <c r="K62" s="11">
        <v>25068886</v>
      </c>
      <c r="L62" s="6">
        <v>27944624</v>
      </c>
      <c r="M62" s="6">
        <v>28888146</v>
      </c>
      <c r="N62" s="11">
        <v>23811233</v>
      </c>
    </row>
  </sheetData>
  <mergeCells count="30">
    <mergeCell ref="E25:F25"/>
    <mergeCell ref="G25:G26"/>
    <mergeCell ref="H25:M25"/>
    <mergeCell ref="E26:F32"/>
    <mergeCell ref="E55:F55"/>
    <mergeCell ref="G55:G56"/>
    <mergeCell ref="E56:F62"/>
    <mergeCell ref="E35:F35"/>
    <mergeCell ref="G35:G36"/>
    <mergeCell ref="E36:F42"/>
    <mergeCell ref="E45:F45"/>
    <mergeCell ref="G45:G46"/>
    <mergeCell ref="E46:F52"/>
    <mergeCell ref="E3:F3"/>
    <mergeCell ref="G3:G4"/>
    <mergeCell ref="H3:M3"/>
    <mergeCell ref="E4:F10"/>
    <mergeCell ref="E15:F15"/>
    <mergeCell ref="G15:G16"/>
    <mergeCell ref="H15:M15"/>
    <mergeCell ref="E16:F22"/>
    <mergeCell ref="Q35:Q36"/>
    <mergeCell ref="Q46:Q47"/>
    <mergeCell ref="Q55:Q56"/>
    <mergeCell ref="Q3:Q4"/>
    <mergeCell ref="R3:W3"/>
    <mergeCell ref="Q15:Q16"/>
    <mergeCell ref="R15:W15"/>
    <mergeCell ref="Q26:Q27"/>
    <mergeCell ref="R26:W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9DA4-0D0F-4582-91D4-04C8AE7CA38B}">
  <dimension ref="E4:X63"/>
  <sheetViews>
    <sheetView topLeftCell="E49" zoomScaleNormal="100" workbookViewId="0">
      <selection activeCell="T22" sqref="T22"/>
    </sheetView>
  </sheetViews>
  <sheetFormatPr defaultRowHeight="14.4" x14ac:dyDescent="0.3"/>
  <cols>
    <col min="7" max="7" width="17.77734375" bestFit="1" customWidth="1"/>
    <col min="8" max="14" width="9.6640625" bestFit="1" customWidth="1"/>
    <col min="16" max="16" width="17.77734375" bestFit="1" customWidth="1"/>
  </cols>
  <sheetData>
    <row r="4" spans="5:22" x14ac:dyDescent="0.3">
      <c r="E4" s="43" t="s">
        <v>0</v>
      </c>
      <c r="F4" s="43"/>
      <c r="G4" s="36"/>
      <c r="H4" s="36" t="s">
        <v>25</v>
      </c>
      <c r="I4" s="36"/>
      <c r="J4" s="36"/>
      <c r="K4" s="36"/>
      <c r="L4" s="36"/>
      <c r="M4" s="36"/>
      <c r="P4" s="36"/>
      <c r="Q4" s="36" t="s">
        <v>25</v>
      </c>
      <c r="R4" s="36"/>
      <c r="S4" s="36"/>
      <c r="T4" s="36"/>
      <c r="U4" s="36"/>
      <c r="V4" s="36"/>
    </row>
    <row r="5" spans="5:22" x14ac:dyDescent="0.3">
      <c r="E5" s="44" t="s">
        <v>2</v>
      </c>
      <c r="F5" s="44"/>
      <c r="G5" s="36"/>
      <c r="H5" s="1" t="s">
        <v>3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8</v>
      </c>
      <c r="P5" s="36"/>
      <c r="Q5" s="1" t="s">
        <v>3</v>
      </c>
      <c r="R5" s="1" t="s">
        <v>4</v>
      </c>
      <c r="S5" s="1" t="s">
        <v>5</v>
      </c>
      <c r="T5" s="1" t="s">
        <v>6</v>
      </c>
      <c r="U5" s="1" t="s">
        <v>7</v>
      </c>
      <c r="V5" s="1" t="s">
        <v>8</v>
      </c>
    </row>
    <row r="6" spans="5:22" x14ac:dyDescent="0.3">
      <c r="E6" s="44"/>
      <c r="F6" s="44"/>
      <c r="G6" s="2" t="s">
        <v>9</v>
      </c>
      <c r="H6" s="3">
        <v>50</v>
      </c>
      <c r="I6" s="3">
        <v>50</v>
      </c>
      <c r="J6" s="3">
        <v>50</v>
      </c>
      <c r="K6" s="3">
        <v>51</v>
      </c>
      <c r="L6" s="3">
        <v>54</v>
      </c>
      <c r="M6" s="3">
        <v>55</v>
      </c>
      <c r="P6" s="2" t="s">
        <v>10</v>
      </c>
      <c r="Q6" s="4">
        <v>53.474800012917129</v>
      </c>
      <c r="R6" s="4">
        <v>54.108333981834271</v>
      </c>
      <c r="S6" s="4">
        <v>54.255305647593076</v>
      </c>
      <c r="T6" s="4">
        <v>54.440305774651343</v>
      </c>
      <c r="U6" s="4">
        <v>55.580712404701849</v>
      </c>
      <c r="V6" s="4">
        <v>55.827515145243929</v>
      </c>
    </row>
    <row r="7" spans="5:22" x14ac:dyDescent="0.3">
      <c r="E7" s="44"/>
      <c r="F7" s="44"/>
      <c r="G7" s="2" t="s">
        <v>10</v>
      </c>
      <c r="H7" s="4">
        <v>53.474800012917129</v>
      </c>
      <c r="I7" s="4">
        <v>54.108333981834271</v>
      </c>
      <c r="J7" s="4">
        <v>54.255305647593076</v>
      </c>
      <c r="K7" s="4">
        <v>54.440305774651343</v>
      </c>
      <c r="L7" s="4">
        <v>55.580712404701849</v>
      </c>
      <c r="M7" s="4">
        <v>55.827515145243929</v>
      </c>
    </row>
    <row r="8" spans="5:22" x14ac:dyDescent="0.3">
      <c r="E8" s="44"/>
      <c r="F8" s="44"/>
      <c r="G8" s="2" t="s">
        <v>12</v>
      </c>
      <c r="H8" s="3">
        <v>17879</v>
      </c>
      <c r="I8" s="3">
        <v>21130</v>
      </c>
      <c r="J8" s="3">
        <v>25007</v>
      </c>
      <c r="K8" s="3">
        <v>32263</v>
      </c>
      <c r="L8" s="14">
        <v>46213</v>
      </c>
      <c r="M8" s="3">
        <v>30479</v>
      </c>
      <c r="O8">
        <f>CORREL(H7:M7,H10:M10)</f>
        <v>0.38152777239647151</v>
      </c>
    </row>
    <row r="9" spans="5:22" x14ac:dyDescent="0.3">
      <c r="E9" s="44"/>
      <c r="F9" s="44"/>
      <c r="G9" s="2" t="s">
        <v>13</v>
      </c>
      <c r="H9" s="4">
        <f>H8/5</f>
        <v>3575.8</v>
      </c>
      <c r="I9" s="4">
        <f t="shared" ref="I9:L9" si="0">I8/5</f>
        <v>4226</v>
      </c>
      <c r="J9" s="4">
        <f t="shared" si="0"/>
        <v>5001.3999999999996</v>
      </c>
      <c r="K9" s="4">
        <f t="shared" si="0"/>
        <v>6452.6</v>
      </c>
      <c r="L9" s="4">
        <f t="shared" si="0"/>
        <v>9242.6</v>
      </c>
      <c r="M9" s="4">
        <f>M8/3</f>
        <v>10159.666666666666</v>
      </c>
    </row>
    <row r="10" spans="5:22" x14ac:dyDescent="0.3">
      <c r="E10" s="44"/>
      <c r="F10" s="44"/>
      <c r="G10" s="2" t="s">
        <v>11</v>
      </c>
      <c r="H10" s="5">
        <v>109.2149118511592</v>
      </c>
      <c r="I10" s="5">
        <v>101.36536372099729</v>
      </c>
      <c r="J10" s="5">
        <v>94.107147380353794</v>
      </c>
      <c r="K10" s="5">
        <v>96.912933321464976</v>
      </c>
      <c r="L10" s="5">
        <v>113.30992540236251</v>
      </c>
      <c r="M10" s="5">
        <v>107.07543788542678</v>
      </c>
    </row>
    <row r="11" spans="5:22" x14ac:dyDescent="0.3">
      <c r="E11" s="44"/>
      <c r="F11" s="44"/>
      <c r="G11" s="2" t="s">
        <v>14</v>
      </c>
      <c r="H11" s="6">
        <v>20339480</v>
      </c>
      <c r="I11" s="6">
        <v>25032468</v>
      </c>
      <c r="J11" s="6">
        <v>30126564</v>
      </c>
      <c r="K11" s="6">
        <v>34506788</v>
      </c>
      <c r="L11" s="6">
        <v>39450421</v>
      </c>
      <c r="M11" s="6">
        <v>26333772</v>
      </c>
    </row>
    <row r="12" spans="5:22" x14ac:dyDescent="0.3">
      <c r="H12" s="7"/>
      <c r="I12" s="7"/>
      <c r="J12" s="7"/>
      <c r="K12" s="7"/>
      <c r="L12" s="7"/>
      <c r="M12" s="7"/>
    </row>
    <row r="16" spans="5:22" x14ac:dyDescent="0.3">
      <c r="E16" s="43" t="s">
        <v>0</v>
      </c>
      <c r="F16" s="43"/>
      <c r="G16" s="36"/>
      <c r="H16" s="36" t="s">
        <v>25</v>
      </c>
      <c r="I16" s="36"/>
      <c r="J16" s="36"/>
      <c r="K16" s="36"/>
      <c r="L16" s="36"/>
      <c r="M16" s="36"/>
      <c r="P16" s="36"/>
      <c r="Q16" s="36" t="s">
        <v>25</v>
      </c>
      <c r="R16" s="36"/>
      <c r="S16" s="36"/>
      <c r="T16" s="36"/>
      <c r="U16" s="36"/>
      <c r="V16" s="36"/>
    </row>
    <row r="17" spans="5:22" x14ac:dyDescent="0.3">
      <c r="E17" s="44" t="s">
        <v>20</v>
      </c>
      <c r="F17" s="44"/>
      <c r="G17" s="36"/>
      <c r="H17" s="1" t="s">
        <v>3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21</v>
      </c>
      <c r="P17" s="36"/>
      <c r="Q17" s="1" t="s">
        <v>3</v>
      </c>
      <c r="R17" s="1" t="s">
        <v>4</v>
      </c>
      <c r="S17" s="1" t="s">
        <v>5</v>
      </c>
      <c r="T17" s="1" t="s">
        <v>6</v>
      </c>
      <c r="U17" s="1" t="s">
        <v>7</v>
      </c>
      <c r="V17" s="1" t="s">
        <v>21</v>
      </c>
    </row>
    <row r="18" spans="5:22" x14ac:dyDescent="0.3">
      <c r="E18" s="44"/>
      <c r="F18" s="44"/>
      <c r="G18" s="2" t="s">
        <v>9</v>
      </c>
      <c r="H18" s="3">
        <v>50</v>
      </c>
      <c r="I18" s="3">
        <v>51</v>
      </c>
      <c r="J18" s="3">
        <v>55</v>
      </c>
      <c r="K18" s="3">
        <v>55</v>
      </c>
      <c r="L18" s="3">
        <v>58</v>
      </c>
      <c r="M18" s="3">
        <v>58</v>
      </c>
      <c r="P18" s="2" t="s">
        <v>10</v>
      </c>
      <c r="Q18" s="4">
        <v>51.152371896838453</v>
      </c>
      <c r="R18" s="4">
        <v>51.184258282080862</v>
      </c>
      <c r="S18" s="4">
        <v>52.727794488294577</v>
      </c>
      <c r="T18" s="4">
        <v>52.382528973553946</v>
      </c>
      <c r="U18" s="4">
        <v>53.520010783248246</v>
      </c>
      <c r="V18" s="4">
        <v>53.690158144317365</v>
      </c>
    </row>
    <row r="19" spans="5:22" x14ac:dyDescent="0.3">
      <c r="E19" s="44"/>
      <c r="F19" s="44"/>
      <c r="G19" s="2" t="s">
        <v>10</v>
      </c>
      <c r="H19" s="4">
        <v>51.152371896838453</v>
      </c>
      <c r="I19" s="4">
        <v>51.184258282080862</v>
      </c>
      <c r="J19" s="4">
        <v>52.727794488294577</v>
      </c>
      <c r="K19" s="4">
        <v>52.382528973553946</v>
      </c>
      <c r="L19" s="4">
        <v>53.520010783248246</v>
      </c>
      <c r="M19" s="4">
        <v>53.690158144317365</v>
      </c>
    </row>
    <row r="20" spans="5:22" x14ac:dyDescent="0.3">
      <c r="E20" s="44"/>
      <c r="F20" s="44"/>
      <c r="G20" s="2" t="s">
        <v>12</v>
      </c>
      <c r="H20" s="14">
        <v>550</v>
      </c>
      <c r="I20" s="14">
        <v>539</v>
      </c>
      <c r="J20" s="14">
        <v>594</v>
      </c>
      <c r="K20" s="14">
        <v>680</v>
      </c>
      <c r="L20" s="14">
        <v>776</v>
      </c>
      <c r="M20" s="14">
        <v>870</v>
      </c>
      <c r="O20">
        <f>CORREL(H19:M19,H22:M22)</f>
        <v>0.60453943438331459</v>
      </c>
    </row>
    <row r="21" spans="5:22" x14ac:dyDescent="0.3">
      <c r="E21" s="44"/>
      <c r="F21" s="44"/>
      <c r="G21" s="2" t="s">
        <v>13</v>
      </c>
      <c r="H21" s="23">
        <f>H20/5</f>
        <v>110</v>
      </c>
      <c r="I21" s="23">
        <f t="shared" ref="I21:M21" si="1">I20/5</f>
        <v>107.8</v>
      </c>
      <c r="J21" s="23">
        <f t="shared" si="1"/>
        <v>118.8</v>
      </c>
      <c r="K21" s="23">
        <f t="shared" si="1"/>
        <v>136</v>
      </c>
      <c r="L21" s="23">
        <f t="shared" si="1"/>
        <v>155.19999999999999</v>
      </c>
      <c r="M21" s="23">
        <f t="shared" si="1"/>
        <v>174</v>
      </c>
    </row>
    <row r="22" spans="5:22" x14ac:dyDescent="0.3">
      <c r="E22" s="44"/>
      <c r="F22" s="44"/>
      <c r="G22" s="2" t="s">
        <v>11</v>
      </c>
      <c r="H22" s="25">
        <v>49.6571688653409</v>
      </c>
      <c r="I22" s="25">
        <v>43.686989497381838</v>
      </c>
      <c r="J22" s="25">
        <v>53.806248590303461</v>
      </c>
      <c r="K22" s="25">
        <v>60.051520672294437</v>
      </c>
      <c r="L22" s="25">
        <v>65.271732539179879</v>
      </c>
      <c r="M22" s="25">
        <v>50.408084248058472</v>
      </c>
    </row>
    <row r="23" spans="5:22" x14ac:dyDescent="0.3">
      <c r="E23" s="44"/>
      <c r="F23" s="44"/>
      <c r="G23" s="2" t="s">
        <v>14</v>
      </c>
      <c r="H23" s="14">
        <v>1100448</v>
      </c>
      <c r="I23" s="24">
        <v>1149747</v>
      </c>
      <c r="J23" s="24">
        <v>1103961</v>
      </c>
      <c r="K23" s="24">
        <v>1132361</v>
      </c>
      <c r="L23" s="24">
        <v>1187344</v>
      </c>
      <c r="M23" s="24">
        <v>1244995</v>
      </c>
    </row>
    <row r="26" spans="5:22" x14ac:dyDescent="0.3">
      <c r="E26" s="43" t="s">
        <v>0</v>
      </c>
      <c r="F26" s="43"/>
      <c r="G26" s="36"/>
      <c r="H26" s="36" t="s">
        <v>25</v>
      </c>
      <c r="I26" s="36"/>
      <c r="J26" s="36"/>
      <c r="K26" s="36"/>
      <c r="L26" s="36"/>
      <c r="M26" s="36"/>
      <c r="P26" s="36"/>
      <c r="Q26" s="36" t="s">
        <v>25</v>
      </c>
      <c r="R26" s="36"/>
      <c r="S26" s="36"/>
      <c r="T26" s="36"/>
      <c r="U26" s="36"/>
      <c r="V26" s="36"/>
    </row>
    <row r="27" spans="5:22" x14ac:dyDescent="0.3">
      <c r="E27" s="44" t="s">
        <v>22</v>
      </c>
      <c r="F27" s="44"/>
      <c r="G27" s="36"/>
      <c r="H27" s="1" t="s">
        <v>3</v>
      </c>
      <c r="I27" s="1" t="s">
        <v>4</v>
      </c>
      <c r="J27" s="1" t="s">
        <v>5</v>
      </c>
      <c r="K27" s="1" t="s">
        <v>6</v>
      </c>
      <c r="L27" s="1" t="s">
        <v>7</v>
      </c>
      <c r="M27" s="1" t="s">
        <v>21</v>
      </c>
      <c r="P27" s="36"/>
      <c r="Q27" s="1" t="s">
        <v>3</v>
      </c>
      <c r="R27" s="1" t="s">
        <v>4</v>
      </c>
      <c r="S27" s="1" t="s">
        <v>5</v>
      </c>
      <c r="T27" s="1" t="s">
        <v>6</v>
      </c>
      <c r="U27" s="1" t="s">
        <v>7</v>
      </c>
      <c r="V27" s="1" t="s">
        <v>21</v>
      </c>
    </row>
    <row r="28" spans="5:22" x14ac:dyDescent="0.3">
      <c r="E28" s="44"/>
      <c r="F28" s="44"/>
      <c r="G28" s="2" t="s">
        <v>9</v>
      </c>
      <c r="H28" s="3">
        <v>50</v>
      </c>
      <c r="I28" s="14">
        <v>50</v>
      </c>
      <c r="J28" s="3">
        <v>50</v>
      </c>
      <c r="K28" s="14">
        <v>52</v>
      </c>
      <c r="L28" s="14">
        <v>54</v>
      </c>
      <c r="M28" s="14">
        <v>53</v>
      </c>
      <c r="P28" s="2" t="s">
        <v>10</v>
      </c>
      <c r="Q28" s="4">
        <v>53.152478233924533</v>
      </c>
      <c r="R28" s="4">
        <v>54.372951746840208</v>
      </c>
      <c r="S28" s="4">
        <v>54.471837720125308</v>
      </c>
      <c r="T28" s="4">
        <v>55.042999685517195</v>
      </c>
      <c r="U28" s="4">
        <v>55.547294958556712</v>
      </c>
      <c r="V28" s="4">
        <v>54.682409376062807</v>
      </c>
    </row>
    <row r="29" spans="5:22" x14ac:dyDescent="0.3">
      <c r="E29" s="44"/>
      <c r="F29" s="44"/>
      <c r="G29" s="2" t="s">
        <v>10</v>
      </c>
      <c r="H29" s="4">
        <v>53.152478233924533</v>
      </c>
      <c r="I29" s="4">
        <v>54.372951746840208</v>
      </c>
      <c r="J29" s="4">
        <v>54.471837720125308</v>
      </c>
      <c r="K29" s="4">
        <v>55.042999685517195</v>
      </c>
      <c r="L29" s="4">
        <v>55.547294958556712</v>
      </c>
      <c r="M29" s="4">
        <v>54.682409376062807</v>
      </c>
      <c r="O29">
        <f>CORREL(H29:M29,H32:M32)</f>
        <v>0.67377485399036485</v>
      </c>
    </row>
    <row r="30" spans="5:22" x14ac:dyDescent="0.3">
      <c r="E30" s="44"/>
      <c r="F30" s="44"/>
      <c r="G30" s="2" t="s">
        <v>12</v>
      </c>
      <c r="H30" s="14">
        <v>1535</v>
      </c>
      <c r="I30" s="14">
        <v>1884</v>
      </c>
      <c r="J30" s="14">
        <v>2426</v>
      </c>
      <c r="K30" s="14">
        <v>3238</v>
      </c>
      <c r="L30" s="14">
        <v>4296</v>
      </c>
      <c r="M30" s="14">
        <v>5265</v>
      </c>
    </row>
    <row r="31" spans="5:22" x14ac:dyDescent="0.3">
      <c r="E31" s="44"/>
      <c r="F31" s="44"/>
      <c r="G31" s="2" t="s">
        <v>13</v>
      </c>
      <c r="H31" s="23">
        <f>H30/5</f>
        <v>307</v>
      </c>
      <c r="I31" s="23">
        <f t="shared" ref="I31:M31" si="2">I30/5</f>
        <v>376.8</v>
      </c>
      <c r="J31" s="23">
        <f t="shared" si="2"/>
        <v>485.2</v>
      </c>
      <c r="K31" s="23">
        <f t="shared" si="2"/>
        <v>647.6</v>
      </c>
      <c r="L31" s="23">
        <f t="shared" si="2"/>
        <v>859.2</v>
      </c>
      <c r="M31" s="23">
        <f t="shared" si="2"/>
        <v>1053</v>
      </c>
    </row>
    <row r="32" spans="5:22" x14ac:dyDescent="0.3">
      <c r="E32" s="44"/>
      <c r="F32" s="44"/>
      <c r="G32" s="2" t="s">
        <v>11</v>
      </c>
      <c r="H32" s="25">
        <v>76.640910767055288</v>
      </c>
      <c r="I32" s="25">
        <v>75.536190809830074</v>
      </c>
      <c r="J32" s="25">
        <v>77.003843307581121</v>
      </c>
      <c r="K32" s="25">
        <v>82.212723422524704</v>
      </c>
      <c r="L32" s="25">
        <v>88.292324313508843</v>
      </c>
      <c r="M32" s="25">
        <v>88.864702231238354</v>
      </c>
    </row>
    <row r="33" spans="5:24" x14ac:dyDescent="0.3">
      <c r="E33" s="44"/>
      <c r="F33" s="44"/>
      <c r="G33" s="2" t="s">
        <v>14</v>
      </c>
      <c r="H33" s="11">
        <v>2658384</v>
      </c>
      <c r="I33" s="11">
        <v>3123604</v>
      </c>
      <c r="J33" s="11">
        <v>3636214</v>
      </c>
      <c r="K33" s="11">
        <v>4164525</v>
      </c>
      <c r="L33" s="24">
        <v>4766691</v>
      </c>
      <c r="M33" s="11">
        <v>5455919</v>
      </c>
    </row>
    <row r="36" spans="5:24" x14ac:dyDescent="0.3">
      <c r="E36" s="43" t="s">
        <v>0</v>
      </c>
      <c r="F36" s="43"/>
      <c r="G36" s="36"/>
      <c r="H36" s="31" t="s">
        <v>25</v>
      </c>
      <c r="I36" s="32"/>
      <c r="J36" s="32"/>
      <c r="K36" s="32"/>
      <c r="L36" s="32"/>
      <c r="M36" s="32"/>
      <c r="N36" s="33"/>
    </row>
    <row r="37" spans="5:24" x14ac:dyDescent="0.3">
      <c r="E37" s="44" t="s">
        <v>15</v>
      </c>
      <c r="F37" s="44"/>
      <c r="G37" s="36"/>
      <c r="H37" s="8" t="s">
        <v>16</v>
      </c>
      <c r="I37" s="1" t="s">
        <v>3</v>
      </c>
      <c r="J37" s="1" t="s">
        <v>4</v>
      </c>
      <c r="K37" s="1" t="s">
        <v>5</v>
      </c>
      <c r="L37" s="1" t="s">
        <v>6</v>
      </c>
      <c r="M37" s="1" t="s">
        <v>7</v>
      </c>
      <c r="N37" s="1" t="s">
        <v>17</v>
      </c>
      <c r="Q37" s="36"/>
      <c r="R37" s="31" t="s">
        <v>25</v>
      </c>
      <c r="S37" s="32"/>
      <c r="T37" s="32"/>
      <c r="U37" s="32"/>
      <c r="V37" s="32"/>
      <c r="W37" s="32"/>
      <c r="X37" s="33"/>
    </row>
    <row r="38" spans="5:24" x14ac:dyDescent="0.3">
      <c r="E38" s="44"/>
      <c r="F38" s="44"/>
      <c r="G38" s="2" t="s">
        <v>9</v>
      </c>
      <c r="H38" s="2">
        <v>50</v>
      </c>
      <c r="I38" s="2">
        <v>51</v>
      </c>
      <c r="J38" s="2">
        <v>52</v>
      </c>
      <c r="K38" s="2">
        <v>54</v>
      </c>
      <c r="L38" s="2">
        <v>55</v>
      </c>
      <c r="M38" s="2">
        <v>56</v>
      </c>
      <c r="N38" s="2">
        <v>56</v>
      </c>
      <c r="Q38" s="36"/>
      <c r="R38" s="8" t="s">
        <v>16</v>
      </c>
      <c r="S38" s="1" t="s">
        <v>3</v>
      </c>
      <c r="T38" s="1" t="s">
        <v>4</v>
      </c>
      <c r="U38" s="1" t="s">
        <v>5</v>
      </c>
      <c r="V38" s="1" t="s">
        <v>6</v>
      </c>
      <c r="W38" s="1" t="s">
        <v>7</v>
      </c>
      <c r="X38" s="1" t="s">
        <v>17</v>
      </c>
    </row>
    <row r="39" spans="5:24" x14ac:dyDescent="0.3">
      <c r="E39" s="44"/>
      <c r="F39" s="44"/>
      <c r="G39" s="2" t="s">
        <v>10</v>
      </c>
      <c r="H39" s="15">
        <v>54</v>
      </c>
      <c r="I39" s="15">
        <v>55.477688732835624</v>
      </c>
      <c r="J39" s="15">
        <v>56.343775136757003</v>
      </c>
      <c r="K39" s="15">
        <v>57.23097374360205</v>
      </c>
      <c r="L39" s="15">
        <v>56.533733343473536</v>
      </c>
      <c r="M39" s="15">
        <v>58.448576733703561</v>
      </c>
      <c r="N39" s="15">
        <v>58</v>
      </c>
      <c r="Q39" s="2" t="s">
        <v>10</v>
      </c>
      <c r="R39" s="15">
        <v>54</v>
      </c>
      <c r="S39" s="15">
        <v>55.477688732835624</v>
      </c>
      <c r="T39" s="15">
        <v>56.343775136757003</v>
      </c>
      <c r="U39" s="15">
        <v>57.23097374360205</v>
      </c>
      <c r="V39" s="15">
        <v>56.533733343473536</v>
      </c>
      <c r="W39" s="15">
        <v>58.448576733703561</v>
      </c>
      <c r="X39" s="15">
        <v>58</v>
      </c>
    </row>
    <row r="40" spans="5:24" x14ac:dyDescent="0.3">
      <c r="E40" s="44"/>
      <c r="F40" s="44"/>
      <c r="G40" s="2" t="s">
        <v>12</v>
      </c>
      <c r="H40" s="2">
        <v>6438</v>
      </c>
      <c r="I40" s="2">
        <v>8428</v>
      </c>
      <c r="J40" s="2">
        <v>8900</v>
      </c>
      <c r="K40" s="2">
        <v>12350</v>
      </c>
      <c r="L40" s="2">
        <v>17806</v>
      </c>
      <c r="M40" s="2">
        <v>24057</v>
      </c>
      <c r="N40" s="2">
        <v>25387</v>
      </c>
      <c r="P40">
        <f>CORREL(H39:N39,H42:N42)</f>
        <v>0.63687199777458248</v>
      </c>
    </row>
    <row r="41" spans="5:24" x14ac:dyDescent="0.3">
      <c r="E41" s="44"/>
      <c r="F41" s="44"/>
      <c r="G41" s="2" t="s">
        <v>13</v>
      </c>
      <c r="H41" s="15">
        <f>H40/5</f>
        <v>1287.5999999999999</v>
      </c>
      <c r="I41" s="15">
        <f t="shared" ref="I41" si="3">I40/5</f>
        <v>1685.6</v>
      </c>
      <c r="J41" s="15">
        <f t="shared" ref="J41" si="4">J40/5</f>
        <v>1780</v>
      </c>
      <c r="K41" s="15">
        <f t="shared" ref="K41" si="5">K40/5</f>
        <v>2470</v>
      </c>
      <c r="L41" s="15">
        <f t="shared" ref="L41" si="6">L40/5</f>
        <v>3561.2</v>
      </c>
      <c r="M41" s="15">
        <f t="shared" ref="M41" si="7">M40/5</f>
        <v>4811.3999999999996</v>
      </c>
      <c r="N41" s="15">
        <f>N40/4</f>
        <v>6346.75</v>
      </c>
    </row>
    <row r="42" spans="5:24" x14ac:dyDescent="0.3">
      <c r="E42" s="44"/>
      <c r="F42" s="44"/>
      <c r="G42" s="2" t="s">
        <v>11</v>
      </c>
      <c r="H42" s="19">
        <v>91.050022829589409</v>
      </c>
      <c r="I42" s="19">
        <v>98.683727134429532</v>
      </c>
      <c r="J42" s="19">
        <v>83.371967878286611</v>
      </c>
      <c r="K42" s="19">
        <v>92.573597618194739</v>
      </c>
      <c r="L42" s="7">
        <v>104.20536540248924</v>
      </c>
      <c r="M42" s="20">
        <v>111.88417865553953</v>
      </c>
      <c r="N42" s="19">
        <v>121.31343834705775</v>
      </c>
    </row>
    <row r="43" spans="5:24" x14ac:dyDescent="0.3">
      <c r="E43" s="44"/>
      <c r="F43" s="44"/>
      <c r="G43" s="2" t="s">
        <v>14</v>
      </c>
      <c r="H43" s="21">
        <v>8966108</v>
      </c>
      <c r="I43" s="21">
        <v>10336582</v>
      </c>
      <c r="J43" s="21">
        <v>12122651</v>
      </c>
      <c r="K43" s="21">
        <v>14261397</v>
      </c>
      <c r="L43" s="21">
        <v>17029916</v>
      </c>
      <c r="M43" s="16">
        <v>20360277</v>
      </c>
      <c r="N43" s="21">
        <v>19119658</v>
      </c>
    </row>
    <row r="46" spans="5:24" x14ac:dyDescent="0.3">
      <c r="E46" s="43" t="s">
        <v>0</v>
      </c>
      <c r="F46" s="43"/>
      <c r="G46" s="36" t="s">
        <v>31</v>
      </c>
      <c r="H46" s="31" t="s">
        <v>25</v>
      </c>
      <c r="I46" s="32"/>
      <c r="J46" s="32"/>
      <c r="K46" s="32"/>
      <c r="L46" s="32"/>
      <c r="M46" s="32"/>
      <c r="N46" s="33"/>
      <c r="Q46" s="36" t="s">
        <v>31</v>
      </c>
      <c r="R46" s="31" t="s">
        <v>25</v>
      </c>
      <c r="S46" s="32"/>
      <c r="T46" s="32"/>
      <c r="U46" s="32"/>
      <c r="V46" s="32"/>
      <c r="W46" s="32"/>
      <c r="X46" s="33"/>
    </row>
    <row r="47" spans="5:24" x14ac:dyDescent="0.3">
      <c r="E47" s="44" t="s">
        <v>18</v>
      </c>
      <c r="F47" s="44"/>
      <c r="G47" s="36"/>
      <c r="H47" s="8" t="s">
        <v>16</v>
      </c>
      <c r="I47" s="1" t="s">
        <v>3</v>
      </c>
      <c r="J47" s="1" t="s">
        <v>4</v>
      </c>
      <c r="K47" s="1" t="s">
        <v>5</v>
      </c>
      <c r="L47" s="1" t="s">
        <v>6</v>
      </c>
      <c r="M47" s="1" t="s">
        <v>7</v>
      </c>
      <c r="N47" s="1" t="s">
        <v>17</v>
      </c>
      <c r="Q47" s="36"/>
      <c r="R47" s="8" t="s">
        <v>16</v>
      </c>
      <c r="S47" s="1" t="s">
        <v>3</v>
      </c>
      <c r="T47" s="1" t="s">
        <v>4</v>
      </c>
      <c r="U47" s="1" t="s">
        <v>5</v>
      </c>
      <c r="V47" s="1" t="s">
        <v>6</v>
      </c>
      <c r="W47" s="1" t="s">
        <v>7</v>
      </c>
      <c r="X47" s="1" t="s">
        <v>17</v>
      </c>
    </row>
    <row r="48" spans="5:24" x14ac:dyDescent="0.3">
      <c r="E48" s="44"/>
      <c r="F48" s="44"/>
      <c r="G48" s="2" t="s">
        <v>9</v>
      </c>
      <c r="H48" s="2">
        <v>50</v>
      </c>
      <c r="I48" s="2">
        <v>50</v>
      </c>
      <c r="J48" s="2">
        <v>52</v>
      </c>
      <c r="K48" s="2">
        <v>53</v>
      </c>
      <c r="L48" s="2">
        <v>55</v>
      </c>
      <c r="M48" s="2">
        <v>56</v>
      </c>
      <c r="N48" s="2">
        <v>57</v>
      </c>
      <c r="Q48" s="2" t="s">
        <v>10</v>
      </c>
      <c r="R48" s="15">
        <v>54</v>
      </c>
      <c r="S48" s="15">
        <v>55</v>
      </c>
      <c r="T48" s="15">
        <v>57</v>
      </c>
      <c r="U48" s="15">
        <v>56</v>
      </c>
      <c r="V48" s="15">
        <v>57</v>
      </c>
      <c r="W48" s="15">
        <v>59</v>
      </c>
      <c r="X48" s="15">
        <v>59</v>
      </c>
    </row>
    <row r="49" spans="5:24" x14ac:dyDescent="0.3">
      <c r="E49" s="44"/>
      <c r="F49" s="44"/>
      <c r="G49" s="2" t="s">
        <v>10</v>
      </c>
      <c r="H49" s="15">
        <v>54</v>
      </c>
      <c r="I49" s="15">
        <v>55</v>
      </c>
      <c r="J49" s="15">
        <v>57</v>
      </c>
      <c r="K49" s="15">
        <v>56</v>
      </c>
      <c r="L49" s="15">
        <v>57</v>
      </c>
      <c r="M49" s="15">
        <v>59</v>
      </c>
      <c r="N49" s="15">
        <v>59</v>
      </c>
    </row>
    <row r="50" spans="5:24" x14ac:dyDescent="0.3">
      <c r="E50" s="44"/>
      <c r="F50" s="44"/>
      <c r="G50" s="2" t="s">
        <v>12</v>
      </c>
      <c r="H50" s="2">
        <v>8302</v>
      </c>
      <c r="I50" s="2">
        <v>8667</v>
      </c>
      <c r="J50" s="2">
        <v>9796</v>
      </c>
      <c r="K50" s="2">
        <v>11208</v>
      </c>
      <c r="L50" s="2">
        <v>13189</v>
      </c>
      <c r="M50" s="2">
        <v>15611</v>
      </c>
      <c r="N50" s="2">
        <v>14728</v>
      </c>
      <c r="P50">
        <f>CORREL(H49:N49,H52:N52)</f>
        <v>0.52809335694760517</v>
      </c>
    </row>
    <row r="51" spans="5:24" x14ac:dyDescent="0.3">
      <c r="E51" s="44"/>
      <c r="F51" s="44"/>
      <c r="G51" s="2" t="s">
        <v>13</v>
      </c>
      <c r="H51" s="2">
        <f>H50/5</f>
        <v>1660.4</v>
      </c>
      <c r="I51" s="2">
        <f t="shared" ref="I51" si="8">I50/5</f>
        <v>1733.4</v>
      </c>
      <c r="J51" s="2">
        <f t="shared" ref="J51" si="9">J50/5</f>
        <v>1959.2</v>
      </c>
      <c r="K51" s="2">
        <f t="shared" ref="K51" si="10">K50/5</f>
        <v>2241.6</v>
      </c>
      <c r="L51" s="2">
        <f t="shared" ref="L51" si="11">L50/5</f>
        <v>2637.8</v>
      </c>
      <c r="M51" s="2">
        <f t="shared" ref="M51" si="12">M50/5</f>
        <v>3122.2</v>
      </c>
      <c r="N51" s="2">
        <f>N50/4</f>
        <v>3682</v>
      </c>
    </row>
    <row r="52" spans="5:24" x14ac:dyDescent="0.3">
      <c r="E52" s="44"/>
      <c r="F52" s="44"/>
      <c r="G52" s="2" t="s">
        <v>11</v>
      </c>
      <c r="H52" s="7">
        <v>102.4996975381914</v>
      </c>
      <c r="I52" s="19">
        <v>94.51511830761136</v>
      </c>
      <c r="J52" s="19">
        <v>93.89799594944661</v>
      </c>
      <c r="K52" s="19">
        <v>94.52296584190006</v>
      </c>
      <c r="L52" s="19">
        <v>98.521186755495151</v>
      </c>
      <c r="M52" s="20">
        <v>103.66749422368652</v>
      </c>
      <c r="N52" s="19">
        <v>110.95475853532527</v>
      </c>
    </row>
    <row r="53" spans="5:24" x14ac:dyDescent="0.3">
      <c r="E53" s="44"/>
      <c r="F53" s="44"/>
      <c r="G53" s="2" t="s">
        <v>14</v>
      </c>
      <c r="H53" s="17">
        <v>8752703</v>
      </c>
      <c r="I53" s="22">
        <v>9443423</v>
      </c>
      <c r="J53" s="22">
        <v>10107968</v>
      </c>
      <c r="K53" s="22">
        <v>10734123</v>
      </c>
      <c r="L53" s="22">
        <v>11203632</v>
      </c>
      <c r="M53" s="22">
        <v>11685846</v>
      </c>
      <c r="N53" s="22">
        <v>9709793</v>
      </c>
    </row>
    <row r="56" spans="5:24" x14ac:dyDescent="0.3">
      <c r="E56" s="43" t="s">
        <v>0</v>
      </c>
      <c r="F56" s="43"/>
      <c r="G56" s="36"/>
      <c r="H56" s="31" t="s">
        <v>25</v>
      </c>
      <c r="I56" s="32"/>
      <c r="J56" s="32"/>
      <c r="K56" s="32"/>
      <c r="L56" s="32"/>
      <c r="M56" s="32"/>
      <c r="N56" s="33"/>
      <c r="Q56" s="36"/>
      <c r="R56" s="31" t="s">
        <v>25</v>
      </c>
      <c r="S56" s="32"/>
      <c r="T56" s="32"/>
      <c r="U56" s="32"/>
      <c r="V56" s="32"/>
      <c r="W56" s="32"/>
      <c r="X56" s="33"/>
    </row>
    <row r="57" spans="5:24" x14ac:dyDescent="0.3">
      <c r="E57" s="44" t="s">
        <v>19</v>
      </c>
      <c r="F57" s="44"/>
      <c r="G57" s="36"/>
      <c r="H57" s="8" t="s">
        <v>16</v>
      </c>
      <c r="I57" s="1" t="s">
        <v>3</v>
      </c>
      <c r="J57" s="1" t="s">
        <v>4</v>
      </c>
      <c r="K57" s="1" t="s">
        <v>5</v>
      </c>
      <c r="L57" s="1" t="s">
        <v>6</v>
      </c>
      <c r="M57" s="1" t="s">
        <v>7</v>
      </c>
      <c r="N57" s="1" t="s">
        <v>17</v>
      </c>
      <c r="Q57" s="36"/>
      <c r="R57" s="8" t="s">
        <v>16</v>
      </c>
      <c r="S57" s="1" t="s">
        <v>3</v>
      </c>
      <c r="T57" s="1" t="s">
        <v>4</v>
      </c>
      <c r="U57" s="1" t="s">
        <v>5</v>
      </c>
      <c r="V57" s="1" t="s">
        <v>6</v>
      </c>
      <c r="W57" s="1" t="s">
        <v>7</v>
      </c>
      <c r="X57" s="1" t="s">
        <v>17</v>
      </c>
    </row>
    <row r="58" spans="5:24" x14ac:dyDescent="0.3">
      <c r="E58" s="44"/>
      <c r="F58" s="44"/>
      <c r="G58" s="2" t="s">
        <v>9</v>
      </c>
      <c r="H58" s="3">
        <v>51</v>
      </c>
      <c r="I58" s="3">
        <v>52</v>
      </c>
      <c r="J58" s="3">
        <v>54</v>
      </c>
      <c r="K58" s="3">
        <v>55</v>
      </c>
      <c r="L58" s="3">
        <v>55</v>
      </c>
      <c r="M58" s="3">
        <v>58</v>
      </c>
      <c r="N58" s="3">
        <v>59</v>
      </c>
      <c r="Q58" s="2" t="s">
        <v>10</v>
      </c>
      <c r="R58" s="4">
        <v>56.243156484435261</v>
      </c>
      <c r="S58" s="4">
        <v>56.459233753221326</v>
      </c>
      <c r="T58" s="4">
        <v>56.74405629845603</v>
      </c>
      <c r="U58" s="4">
        <v>57.23097374360205</v>
      </c>
      <c r="V58" s="4">
        <v>56.533733343473536</v>
      </c>
      <c r="W58" s="4">
        <v>58.448576733703561</v>
      </c>
      <c r="X58" s="4">
        <v>59.630788370157497</v>
      </c>
    </row>
    <row r="59" spans="5:24" x14ac:dyDescent="0.3">
      <c r="E59" s="44"/>
      <c r="F59" s="44"/>
      <c r="G59" s="2" t="s">
        <v>10</v>
      </c>
      <c r="H59" s="4">
        <v>56.243156484435261</v>
      </c>
      <c r="I59" s="4">
        <v>56.459233753221326</v>
      </c>
      <c r="J59" s="4">
        <v>56.74405629845603</v>
      </c>
      <c r="K59" s="4">
        <v>57.23097374360205</v>
      </c>
      <c r="L59" s="4">
        <v>56.533733343473536</v>
      </c>
      <c r="M59" s="4">
        <v>58.448576733703561</v>
      </c>
      <c r="N59" s="4">
        <v>59.630788370157497</v>
      </c>
    </row>
    <row r="60" spans="5:24" x14ac:dyDescent="0.3">
      <c r="E60" s="44"/>
      <c r="F60" s="44"/>
      <c r="G60" s="2" t="s">
        <v>12</v>
      </c>
      <c r="H60" s="14">
        <v>15139</v>
      </c>
      <c r="I60" s="3">
        <v>18900</v>
      </c>
      <c r="J60" s="3">
        <v>20892</v>
      </c>
      <c r="K60" s="3">
        <v>23257</v>
      </c>
      <c r="L60" s="3">
        <v>28566</v>
      </c>
      <c r="M60" s="3">
        <v>33564</v>
      </c>
      <c r="N60" s="3">
        <v>28693</v>
      </c>
      <c r="P60">
        <f>CORREL(H59:N59,H62:N62)</f>
        <v>8.4695314859702317E-2</v>
      </c>
    </row>
    <row r="61" spans="5:24" x14ac:dyDescent="0.3">
      <c r="E61" s="44"/>
      <c r="F61" s="44"/>
      <c r="G61" s="2" t="s">
        <v>13</v>
      </c>
      <c r="H61" s="4">
        <f>H60/5</f>
        <v>3027.8</v>
      </c>
      <c r="I61" s="4">
        <f t="shared" ref="I61" si="13">I60/5</f>
        <v>3780</v>
      </c>
      <c r="J61" s="4">
        <f t="shared" ref="J61" si="14">J60/5</f>
        <v>4178.3999999999996</v>
      </c>
      <c r="K61" s="4">
        <f t="shared" ref="K61" si="15">K60/5</f>
        <v>4651.3999999999996</v>
      </c>
      <c r="L61" s="4">
        <f t="shared" ref="L61" si="16">L60/5</f>
        <v>5713.2</v>
      </c>
      <c r="M61" s="4">
        <f t="shared" ref="M61" si="17">M60/5</f>
        <v>6712.8</v>
      </c>
      <c r="N61" s="4">
        <f>N60/4</f>
        <v>7173.25</v>
      </c>
    </row>
    <row r="62" spans="5:24" x14ac:dyDescent="0.3">
      <c r="E62" s="44"/>
      <c r="F62" s="44"/>
      <c r="G62" s="2" t="s">
        <v>11</v>
      </c>
      <c r="H62" s="12">
        <v>89.552381702418998</v>
      </c>
      <c r="I62" s="13">
        <v>95.084450203655834</v>
      </c>
      <c r="J62" s="13">
        <v>88.139041188035719</v>
      </c>
      <c r="K62" s="13">
        <v>98.389622426140591</v>
      </c>
      <c r="L62" s="13">
        <v>89.979676290443777</v>
      </c>
      <c r="M62" s="9">
        <v>93.822435417986554</v>
      </c>
      <c r="N62" s="13">
        <v>90.727958513181846</v>
      </c>
    </row>
    <row r="63" spans="5:24" x14ac:dyDescent="0.3">
      <c r="E63" s="44"/>
      <c r="F63" s="44"/>
      <c r="G63" s="2" t="s">
        <v>14</v>
      </c>
      <c r="H63" s="6">
        <v>20622629</v>
      </c>
      <c r="I63" s="6">
        <v>22875003</v>
      </c>
      <c r="J63" s="11">
        <v>25068886</v>
      </c>
      <c r="K63" s="11">
        <v>25068886</v>
      </c>
      <c r="L63" s="6">
        <v>27944624</v>
      </c>
      <c r="M63" s="6">
        <v>28888146</v>
      </c>
      <c r="N63" s="11">
        <v>23811233</v>
      </c>
    </row>
  </sheetData>
  <mergeCells count="30">
    <mergeCell ref="E26:F26"/>
    <mergeCell ref="G26:G27"/>
    <mergeCell ref="H26:M26"/>
    <mergeCell ref="E27:F33"/>
    <mergeCell ref="E56:F56"/>
    <mergeCell ref="G56:G57"/>
    <mergeCell ref="E57:F63"/>
    <mergeCell ref="E36:F36"/>
    <mergeCell ref="G36:G37"/>
    <mergeCell ref="E37:F43"/>
    <mergeCell ref="E46:F46"/>
    <mergeCell ref="G46:G47"/>
    <mergeCell ref="E47:F53"/>
    <mergeCell ref="E4:F4"/>
    <mergeCell ref="G4:G5"/>
    <mergeCell ref="H4:M4"/>
    <mergeCell ref="E5:F11"/>
    <mergeCell ref="E16:F16"/>
    <mergeCell ref="G16:G17"/>
    <mergeCell ref="H16:M16"/>
    <mergeCell ref="E17:F23"/>
    <mergeCell ref="Q37:Q38"/>
    <mergeCell ref="Q46:Q47"/>
    <mergeCell ref="Q56:Q57"/>
    <mergeCell ref="P4:P5"/>
    <mergeCell ref="Q4:V4"/>
    <mergeCell ref="P16:P17"/>
    <mergeCell ref="Q16:V16"/>
    <mergeCell ref="P26:P27"/>
    <mergeCell ref="Q26:V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8E54-5F4C-4B0B-AAAE-4AD55E069E2C}">
  <dimension ref="B5:V70"/>
  <sheetViews>
    <sheetView tabSelected="1" topLeftCell="B1" workbookViewId="0">
      <selection activeCell="O9" sqref="O9:U13"/>
    </sheetView>
  </sheetViews>
  <sheetFormatPr defaultRowHeight="14.4" x14ac:dyDescent="0.3"/>
  <cols>
    <col min="7" max="7" width="10.21875" bestFit="1" customWidth="1"/>
    <col min="15" max="15" width="7.77734375" bestFit="1" customWidth="1"/>
    <col min="16" max="22" width="9.6640625" bestFit="1" customWidth="1"/>
  </cols>
  <sheetData>
    <row r="5" spans="6:21" x14ac:dyDescent="0.3">
      <c r="F5" s="22"/>
      <c r="G5" s="36" t="s">
        <v>30</v>
      </c>
      <c r="H5" s="36"/>
      <c r="I5" s="36"/>
      <c r="J5" s="22"/>
    </row>
    <row r="6" spans="6:21" x14ac:dyDescent="0.3">
      <c r="F6" s="37" t="s">
        <v>27</v>
      </c>
      <c r="G6" s="38"/>
      <c r="H6" s="38"/>
      <c r="I6" s="38"/>
      <c r="J6" s="39"/>
    </row>
    <row r="7" spans="6:21" x14ac:dyDescent="0.3">
      <c r="F7" s="40"/>
      <c r="G7" s="41"/>
      <c r="H7" s="41"/>
      <c r="I7" s="41"/>
      <c r="J7" s="42"/>
    </row>
    <row r="8" spans="6:21" x14ac:dyDescent="0.3">
      <c r="F8" s="22" t="s">
        <v>28</v>
      </c>
      <c r="G8" s="22" t="s">
        <v>1</v>
      </c>
      <c r="H8" s="22" t="s">
        <v>24</v>
      </c>
      <c r="I8" s="22" t="s">
        <v>23</v>
      </c>
      <c r="J8" s="22" t="s">
        <v>25</v>
      </c>
    </row>
    <row r="9" spans="6:21" x14ac:dyDescent="0.3">
      <c r="F9" s="22" t="s">
        <v>29</v>
      </c>
      <c r="G9" s="35">
        <v>0.59304591830799813</v>
      </c>
      <c r="H9" s="22"/>
      <c r="I9" s="22"/>
      <c r="J9" s="22"/>
      <c r="O9" s="36"/>
      <c r="P9" s="36" t="s">
        <v>1</v>
      </c>
      <c r="Q9" s="36"/>
      <c r="R9" s="36"/>
      <c r="S9" s="36"/>
      <c r="T9" s="36"/>
      <c r="U9" s="36"/>
    </row>
    <row r="10" spans="6:21" x14ac:dyDescent="0.3">
      <c r="F10" s="22" t="s">
        <v>15</v>
      </c>
      <c r="G10" s="35">
        <v>-0.68765660555811159</v>
      </c>
      <c r="H10" s="22"/>
      <c r="I10" s="22"/>
      <c r="J10" s="22"/>
      <c r="N10" t="s">
        <v>1</v>
      </c>
      <c r="O10" s="36"/>
      <c r="P10" s="1" t="s">
        <v>3</v>
      </c>
      <c r="Q10" s="1" t="s">
        <v>4</v>
      </c>
      <c r="R10" s="1" t="s">
        <v>5</v>
      </c>
      <c r="S10" s="1" t="s">
        <v>6</v>
      </c>
      <c r="T10" s="1" t="s">
        <v>7</v>
      </c>
      <c r="U10" s="1" t="s">
        <v>8</v>
      </c>
    </row>
    <row r="11" spans="6:21" x14ac:dyDescent="0.3">
      <c r="F11" s="22" t="s">
        <v>18</v>
      </c>
      <c r="G11" s="35">
        <v>-0.88457133049192571</v>
      </c>
      <c r="H11" s="22"/>
      <c r="I11" s="22"/>
      <c r="J11" s="22"/>
      <c r="N11" t="s">
        <v>24</v>
      </c>
      <c r="O11" t="s">
        <v>1</v>
      </c>
      <c r="P11" s="4">
        <v>58.384077845145761</v>
      </c>
      <c r="Q11" s="4">
        <v>59.140811095658073</v>
      </c>
      <c r="R11" s="4">
        <v>56.887055683765929</v>
      </c>
      <c r="S11" s="4">
        <v>60.267584642118059</v>
      </c>
      <c r="T11" s="4">
        <v>60</v>
      </c>
      <c r="U11" s="4">
        <v>59</v>
      </c>
    </row>
    <row r="12" spans="6:21" x14ac:dyDescent="0.3">
      <c r="F12" s="22" t="s">
        <v>19</v>
      </c>
      <c r="G12" s="35">
        <v>0.49171814048313828</v>
      </c>
      <c r="H12" s="22"/>
      <c r="I12" s="22"/>
      <c r="J12" s="22"/>
      <c r="N12" t="s">
        <v>23</v>
      </c>
      <c r="O12" t="s">
        <v>24</v>
      </c>
      <c r="P12" s="4">
        <v>51.720008944077918</v>
      </c>
      <c r="Q12" s="4">
        <v>52.611756523078647</v>
      </c>
      <c r="R12" s="4">
        <v>53.228354650949179</v>
      </c>
      <c r="S12" s="4">
        <v>53.68716882362876</v>
      </c>
      <c r="T12" s="4">
        <v>54.554658469271075</v>
      </c>
      <c r="U12" s="4">
        <v>55.19350680964763</v>
      </c>
    </row>
    <row r="13" spans="6:21" x14ac:dyDescent="0.3">
      <c r="F13" s="22" t="s">
        <v>20</v>
      </c>
      <c r="G13" s="35">
        <v>-0.24389647984309504</v>
      </c>
      <c r="H13" s="22"/>
      <c r="I13" s="22"/>
      <c r="J13" s="22"/>
      <c r="O13" t="s">
        <v>23</v>
      </c>
      <c r="P13" s="4">
        <v>51.684292633679355</v>
      </c>
      <c r="Q13" s="4">
        <v>52.692923426799418</v>
      </c>
      <c r="R13" s="4">
        <v>53.893275591873511</v>
      </c>
      <c r="S13" s="4">
        <v>53.994863263142861</v>
      </c>
      <c r="T13" s="4">
        <v>55.204241030801455</v>
      </c>
      <c r="U13" s="4">
        <v>55.519077332106129</v>
      </c>
    </row>
    <row r="14" spans="6:21" x14ac:dyDescent="0.3">
      <c r="F14" s="22" t="s">
        <v>22</v>
      </c>
      <c r="G14" s="35">
        <v>-0.75929939502840371</v>
      </c>
      <c r="H14" s="22"/>
      <c r="I14" s="22"/>
      <c r="J14" s="22"/>
    </row>
    <row r="17" spans="2:22" x14ac:dyDescent="0.3">
      <c r="B17" s="43" t="s">
        <v>0</v>
      </c>
      <c r="C17" s="43"/>
      <c r="D17" s="36"/>
      <c r="E17" s="31" t="s">
        <v>1</v>
      </c>
      <c r="F17" s="32"/>
      <c r="G17" s="32"/>
      <c r="H17" s="32"/>
      <c r="I17" s="32"/>
      <c r="J17" s="32"/>
      <c r="K17" s="33"/>
      <c r="O17" s="36"/>
      <c r="P17" s="31"/>
      <c r="Q17" s="32"/>
      <c r="R17" s="32"/>
      <c r="S17" s="32"/>
      <c r="T17" s="32"/>
      <c r="U17" s="32"/>
      <c r="V17" s="33"/>
    </row>
    <row r="18" spans="2:22" x14ac:dyDescent="0.3">
      <c r="B18" s="44" t="s">
        <v>15</v>
      </c>
      <c r="C18" s="44"/>
      <c r="D18" s="36"/>
      <c r="E18" s="8" t="s">
        <v>16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17</v>
      </c>
      <c r="O18" s="36"/>
      <c r="P18" s="8" t="s">
        <v>16</v>
      </c>
      <c r="Q18" s="1" t="s">
        <v>3</v>
      </c>
      <c r="R18" s="1" t="s">
        <v>4</v>
      </c>
      <c r="S18" s="1" t="s">
        <v>5</v>
      </c>
      <c r="T18" s="1" t="s">
        <v>6</v>
      </c>
      <c r="U18" s="1" t="s">
        <v>7</v>
      </c>
      <c r="V18" s="1" t="s">
        <v>17</v>
      </c>
    </row>
    <row r="19" spans="2:22" x14ac:dyDescent="0.3">
      <c r="B19" s="44"/>
      <c r="C19" s="44"/>
      <c r="D19" s="2" t="s">
        <v>9</v>
      </c>
      <c r="E19" s="2">
        <v>55</v>
      </c>
      <c r="F19" s="15">
        <v>55</v>
      </c>
      <c r="G19" s="2">
        <v>55</v>
      </c>
      <c r="H19" s="2">
        <v>58</v>
      </c>
      <c r="I19" s="2">
        <v>59</v>
      </c>
      <c r="J19" s="2">
        <v>60</v>
      </c>
      <c r="K19" s="2">
        <v>60</v>
      </c>
      <c r="O19" t="s">
        <v>1</v>
      </c>
      <c r="P19" s="15">
        <v>58.553919417992702</v>
      </c>
      <c r="Q19" s="15">
        <v>59.046703891052097</v>
      </c>
      <c r="R19" s="15">
        <v>60.05217088810415</v>
      </c>
      <c r="S19" s="15">
        <v>60.794366262031801</v>
      </c>
      <c r="T19" s="15">
        <v>60.785329059496355</v>
      </c>
      <c r="U19" s="15">
        <v>62.268420036049235</v>
      </c>
      <c r="V19" s="15">
        <v>62.272387148735</v>
      </c>
    </row>
    <row r="20" spans="2:22" x14ac:dyDescent="0.3">
      <c r="B20" s="44"/>
      <c r="C20" s="44"/>
      <c r="D20" s="2" t="s">
        <v>10</v>
      </c>
      <c r="E20" s="15">
        <v>58.553919417992702</v>
      </c>
      <c r="F20" s="15">
        <v>59.046703891052097</v>
      </c>
      <c r="G20" s="15">
        <v>60.05217088810415</v>
      </c>
      <c r="H20" s="15">
        <v>60.794366262031801</v>
      </c>
      <c r="I20" s="15">
        <v>60.785329059496355</v>
      </c>
      <c r="J20" s="15">
        <v>62.268420036049235</v>
      </c>
      <c r="K20" s="15">
        <v>62.272387148735</v>
      </c>
      <c r="O20" t="s">
        <v>24</v>
      </c>
      <c r="P20" s="15">
        <v>52.148147946974333</v>
      </c>
      <c r="Q20" s="15">
        <v>53.206186110701552</v>
      </c>
      <c r="R20" s="15">
        <v>53.011097087697152</v>
      </c>
      <c r="S20" s="15">
        <v>54.140735465207491</v>
      </c>
      <c r="T20" s="15">
        <v>54.766549357012259</v>
      </c>
      <c r="U20" s="15">
        <v>56.138446415192689</v>
      </c>
      <c r="V20" s="15">
        <v>55.571139029707354</v>
      </c>
    </row>
    <row r="21" spans="2:22" x14ac:dyDescent="0.3">
      <c r="B21" s="44"/>
      <c r="C21" s="44"/>
      <c r="D21" s="2" t="s">
        <v>12</v>
      </c>
      <c r="E21" s="2">
        <v>542</v>
      </c>
      <c r="F21" s="2">
        <v>587</v>
      </c>
      <c r="G21" s="2">
        <v>575</v>
      </c>
      <c r="H21" s="2">
        <v>674</v>
      </c>
      <c r="I21" s="2">
        <v>919</v>
      </c>
      <c r="J21" s="2">
        <v>1200</v>
      </c>
      <c r="K21" s="2">
        <v>1296</v>
      </c>
      <c r="O21" t="s">
        <v>23</v>
      </c>
      <c r="P21" s="4">
        <v>52.09465409435839</v>
      </c>
      <c r="Q21" s="4">
        <v>53.590645199124211</v>
      </c>
      <c r="R21" s="23">
        <v>54.73685847638658</v>
      </c>
      <c r="S21" s="4">
        <v>56.012534640363214</v>
      </c>
      <c r="T21" s="4">
        <v>55.438674416909187</v>
      </c>
      <c r="U21" s="4">
        <v>56.359740924774925</v>
      </c>
      <c r="V21" s="4">
        <v>57.387030063293501</v>
      </c>
    </row>
    <row r="22" spans="2:22" x14ac:dyDescent="0.3">
      <c r="B22" s="44"/>
      <c r="C22" s="44"/>
      <c r="D22" s="2" t="s">
        <v>13</v>
      </c>
      <c r="E22" s="2">
        <f>E21/5</f>
        <v>108.4</v>
      </c>
      <c r="F22" s="2">
        <f t="shared" ref="F22:K22" si="0">F21/5</f>
        <v>117.4</v>
      </c>
      <c r="G22" s="2">
        <f t="shared" si="0"/>
        <v>115</v>
      </c>
      <c r="H22" s="2">
        <f t="shared" si="0"/>
        <v>134.80000000000001</v>
      </c>
      <c r="I22" s="2">
        <f t="shared" si="0"/>
        <v>183.8</v>
      </c>
      <c r="J22" s="2">
        <f t="shared" si="0"/>
        <v>240</v>
      </c>
      <c r="K22" s="2">
        <f t="shared" si="0"/>
        <v>259.2</v>
      </c>
    </row>
    <row r="23" spans="2:22" x14ac:dyDescent="0.3">
      <c r="B23" s="44"/>
      <c r="C23" s="44"/>
      <c r="D23" s="2" t="s">
        <v>11</v>
      </c>
      <c r="E23" s="19">
        <v>8.0380179372986102</v>
      </c>
      <c r="F23" s="19">
        <v>7.1849694169234866</v>
      </c>
      <c r="G23" s="19">
        <v>5.6389115668114433</v>
      </c>
      <c r="H23" s="19">
        <v>5.2304038270800746</v>
      </c>
      <c r="I23" s="19">
        <v>5.4914398268924609</v>
      </c>
      <c r="J23" s="20">
        <v>5.6907063862837068</v>
      </c>
      <c r="K23" s="19">
        <v>6.2049890446651963</v>
      </c>
    </row>
    <row r="24" spans="2:22" x14ac:dyDescent="0.3">
      <c r="B24" s="44"/>
      <c r="C24" s="44"/>
      <c r="D24" s="2" t="s">
        <v>14</v>
      </c>
      <c r="E24" s="21">
        <v>8966108</v>
      </c>
      <c r="F24" s="21">
        <v>10336582</v>
      </c>
      <c r="G24" s="21">
        <v>12122651</v>
      </c>
      <c r="H24" s="21">
        <v>14261397</v>
      </c>
      <c r="I24" s="21">
        <v>17029916</v>
      </c>
      <c r="J24" s="16">
        <v>20360277</v>
      </c>
      <c r="K24" s="21">
        <v>19119658</v>
      </c>
    </row>
    <row r="28" spans="2:22" x14ac:dyDescent="0.3">
      <c r="B28" s="43" t="s">
        <v>0</v>
      </c>
      <c r="C28" s="43"/>
      <c r="D28" s="36"/>
      <c r="E28" s="31" t="s">
        <v>1</v>
      </c>
      <c r="F28" s="32"/>
      <c r="G28" s="32"/>
      <c r="H28" s="32"/>
      <c r="I28" s="32"/>
      <c r="J28" s="32"/>
      <c r="K28" s="33"/>
      <c r="O28" s="36"/>
      <c r="P28" s="31" t="s">
        <v>1</v>
      </c>
      <c r="Q28" s="32"/>
      <c r="R28" s="32"/>
      <c r="S28" s="32"/>
      <c r="T28" s="32"/>
      <c r="U28" s="32"/>
      <c r="V28" s="33"/>
    </row>
    <row r="29" spans="2:22" x14ac:dyDescent="0.3">
      <c r="B29" s="44" t="s">
        <v>18</v>
      </c>
      <c r="C29" s="44"/>
      <c r="D29" s="36"/>
      <c r="E29" s="8" t="s">
        <v>16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7</v>
      </c>
      <c r="K29" s="1" t="s">
        <v>17</v>
      </c>
      <c r="O29" s="36"/>
      <c r="P29" s="8" t="s">
        <v>16</v>
      </c>
      <c r="Q29" s="1" t="s">
        <v>3</v>
      </c>
      <c r="R29" s="1" t="s">
        <v>4</v>
      </c>
      <c r="S29" s="1" t="s">
        <v>5</v>
      </c>
      <c r="T29" s="1" t="s">
        <v>6</v>
      </c>
      <c r="U29" s="1" t="s">
        <v>7</v>
      </c>
      <c r="V29" s="1" t="s">
        <v>17</v>
      </c>
    </row>
    <row r="30" spans="2:22" x14ac:dyDescent="0.3">
      <c r="B30" s="44"/>
      <c r="C30" s="44"/>
      <c r="D30" s="2" t="s">
        <v>9</v>
      </c>
      <c r="E30" s="2">
        <v>54</v>
      </c>
      <c r="F30" s="15">
        <v>55</v>
      </c>
      <c r="G30" s="2">
        <v>58</v>
      </c>
      <c r="H30" s="2">
        <v>60</v>
      </c>
      <c r="I30" s="2">
        <v>60</v>
      </c>
      <c r="J30" s="2">
        <v>60</v>
      </c>
      <c r="K30" s="2">
        <v>59</v>
      </c>
      <c r="O30" t="s">
        <v>1</v>
      </c>
      <c r="P30" s="15">
        <v>58</v>
      </c>
      <c r="Q30" s="15">
        <v>60</v>
      </c>
      <c r="R30" s="15">
        <v>61</v>
      </c>
      <c r="S30" s="15">
        <v>62</v>
      </c>
      <c r="T30" s="15">
        <v>62</v>
      </c>
      <c r="U30" s="15">
        <v>61</v>
      </c>
      <c r="V30" s="15">
        <v>61</v>
      </c>
    </row>
    <row r="31" spans="2:22" x14ac:dyDescent="0.3">
      <c r="B31" s="44"/>
      <c r="C31" s="44"/>
      <c r="D31" s="2" t="s">
        <v>10</v>
      </c>
      <c r="E31" s="15">
        <v>58</v>
      </c>
      <c r="F31" s="15">
        <v>60</v>
      </c>
      <c r="G31" s="15">
        <v>61</v>
      </c>
      <c r="H31" s="15">
        <v>62</v>
      </c>
      <c r="I31" s="15">
        <v>62</v>
      </c>
      <c r="J31" s="15">
        <v>61</v>
      </c>
      <c r="K31" s="15">
        <v>61</v>
      </c>
      <c r="O31" t="s">
        <v>24</v>
      </c>
      <c r="P31" s="15">
        <v>53</v>
      </c>
      <c r="Q31" s="15">
        <v>54</v>
      </c>
      <c r="R31" s="15">
        <v>55</v>
      </c>
      <c r="S31" s="15">
        <v>54</v>
      </c>
      <c r="T31" s="15">
        <v>55</v>
      </c>
      <c r="U31" s="15">
        <v>57</v>
      </c>
      <c r="V31" s="15">
        <v>57</v>
      </c>
    </row>
    <row r="32" spans="2:22" x14ac:dyDescent="0.3">
      <c r="B32" s="44"/>
      <c r="C32" s="44"/>
      <c r="D32" s="2" t="s">
        <v>12</v>
      </c>
      <c r="E32" s="22">
        <v>585</v>
      </c>
      <c r="F32" s="22">
        <v>572</v>
      </c>
      <c r="G32" s="22">
        <v>534</v>
      </c>
      <c r="H32" s="22">
        <v>652</v>
      </c>
      <c r="I32" s="22">
        <v>670</v>
      </c>
      <c r="J32" s="22">
        <v>769</v>
      </c>
      <c r="K32" s="22">
        <v>670</v>
      </c>
      <c r="O32" t="s">
        <v>23</v>
      </c>
      <c r="P32" s="3">
        <v>52</v>
      </c>
      <c r="Q32" s="3">
        <v>54</v>
      </c>
      <c r="R32" s="3">
        <v>55</v>
      </c>
      <c r="S32" s="3">
        <v>56</v>
      </c>
      <c r="T32" s="3">
        <v>57</v>
      </c>
      <c r="U32" s="3">
        <v>59</v>
      </c>
      <c r="V32" s="3">
        <v>59</v>
      </c>
    </row>
    <row r="33" spans="2:22" x14ac:dyDescent="0.3">
      <c r="B33" s="44"/>
      <c r="C33" s="44"/>
      <c r="D33" s="2" t="s">
        <v>13</v>
      </c>
      <c r="E33" s="2">
        <f>E32/5</f>
        <v>117</v>
      </c>
      <c r="F33" s="2">
        <f t="shared" ref="F33:J33" si="1">F32/5</f>
        <v>114.4</v>
      </c>
      <c r="G33" s="2">
        <f t="shared" si="1"/>
        <v>106.8</v>
      </c>
      <c r="H33" s="2">
        <f t="shared" si="1"/>
        <v>130.4</v>
      </c>
      <c r="I33" s="2">
        <f t="shared" si="1"/>
        <v>134</v>
      </c>
      <c r="J33" s="2">
        <f t="shared" si="1"/>
        <v>153.80000000000001</v>
      </c>
      <c r="K33" s="2">
        <f>K32/4</f>
        <v>167.5</v>
      </c>
    </row>
    <row r="34" spans="2:22" x14ac:dyDescent="0.3">
      <c r="B34" s="44"/>
      <c r="C34" s="44"/>
      <c r="D34" s="2" t="s">
        <v>11</v>
      </c>
      <c r="E34" s="27">
        <v>7.4193215879727807</v>
      </c>
      <c r="F34" s="19">
        <v>6.3777613268606235</v>
      </c>
      <c r="G34" s="19">
        <v>5.1518902034687946</v>
      </c>
      <c r="H34" s="19">
        <v>5.5096254350753968</v>
      </c>
      <c r="I34" s="19">
        <v>4.924541945180704</v>
      </c>
      <c r="J34" s="19">
        <v>5.0006534584633835</v>
      </c>
      <c r="K34" s="19">
        <v>4.8836553573265302</v>
      </c>
    </row>
    <row r="35" spans="2:22" x14ac:dyDescent="0.3">
      <c r="B35" s="44"/>
      <c r="C35" s="44"/>
      <c r="D35" s="2" t="s">
        <v>14</v>
      </c>
      <c r="E35" s="17">
        <v>8752703</v>
      </c>
      <c r="F35" s="22">
        <v>9443423</v>
      </c>
      <c r="G35" s="22">
        <v>10107968</v>
      </c>
      <c r="H35" s="22">
        <v>10734123</v>
      </c>
      <c r="I35" s="22">
        <v>11203632</v>
      </c>
      <c r="J35" s="22">
        <v>11685846</v>
      </c>
      <c r="K35" s="22">
        <v>9709793</v>
      </c>
    </row>
    <row r="40" spans="2:22" x14ac:dyDescent="0.3">
      <c r="B40" s="43" t="s">
        <v>0</v>
      </c>
      <c r="C40" s="43"/>
      <c r="D40" s="36"/>
      <c r="E40" s="31" t="s">
        <v>1</v>
      </c>
      <c r="F40" s="32"/>
      <c r="G40" s="32"/>
      <c r="H40" s="32"/>
      <c r="I40" s="32"/>
      <c r="J40" s="32"/>
      <c r="K40" s="33"/>
      <c r="O40" s="36"/>
      <c r="P40" s="31"/>
      <c r="Q40" s="32"/>
      <c r="R40" s="32"/>
      <c r="S40" s="32"/>
      <c r="T40" s="32"/>
      <c r="U40" s="32"/>
      <c r="V40" s="33"/>
    </row>
    <row r="41" spans="2:22" x14ac:dyDescent="0.3">
      <c r="B41" s="44" t="s">
        <v>19</v>
      </c>
      <c r="C41" s="44"/>
      <c r="D41" s="36"/>
      <c r="E41" s="8" t="s">
        <v>16</v>
      </c>
      <c r="F41" s="1" t="s">
        <v>3</v>
      </c>
      <c r="G41" s="1" t="s">
        <v>4</v>
      </c>
      <c r="H41" s="1" t="s">
        <v>5</v>
      </c>
      <c r="I41" s="1" t="s">
        <v>6</v>
      </c>
      <c r="J41" s="1" t="s">
        <v>7</v>
      </c>
      <c r="K41" s="1" t="s">
        <v>17</v>
      </c>
      <c r="O41" s="36"/>
      <c r="P41" s="8" t="s">
        <v>16</v>
      </c>
      <c r="Q41" s="1" t="s">
        <v>3</v>
      </c>
      <c r="R41" s="1" t="s">
        <v>4</v>
      </c>
      <c r="S41" s="1" t="s">
        <v>5</v>
      </c>
      <c r="T41" s="1" t="s">
        <v>6</v>
      </c>
      <c r="U41" s="1" t="s">
        <v>7</v>
      </c>
      <c r="V41" s="1" t="s">
        <v>17</v>
      </c>
    </row>
    <row r="42" spans="2:22" x14ac:dyDescent="0.3">
      <c r="B42" s="44"/>
      <c r="C42" s="44"/>
      <c r="D42" s="2" t="s">
        <v>9</v>
      </c>
      <c r="E42" s="3">
        <v>55</v>
      </c>
      <c r="F42" s="3">
        <v>55</v>
      </c>
      <c r="G42" s="3">
        <v>55</v>
      </c>
      <c r="H42" s="3">
        <v>56</v>
      </c>
      <c r="I42" s="3">
        <v>56</v>
      </c>
      <c r="J42" s="3">
        <v>59</v>
      </c>
      <c r="K42" s="3">
        <v>59</v>
      </c>
      <c r="O42" t="s">
        <v>1</v>
      </c>
      <c r="P42" s="4">
        <v>58.553919417992702</v>
      </c>
      <c r="Q42" s="4">
        <v>59.674406191143234</v>
      </c>
      <c r="R42" s="4">
        <v>59.161148946333014</v>
      </c>
      <c r="S42" s="4">
        <v>60.312377066784805</v>
      </c>
      <c r="T42" s="4">
        <v>59</v>
      </c>
      <c r="U42" s="4">
        <v>60.022509024418298</v>
      </c>
      <c r="V42" s="4">
        <v>59.688620148032797</v>
      </c>
    </row>
    <row r="43" spans="2:22" x14ac:dyDescent="0.3">
      <c r="B43" s="44"/>
      <c r="C43" s="44"/>
      <c r="D43" s="2" t="s">
        <v>10</v>
      </c>
      <c r="E43" s="4">
        <v>58.553919417992702</v>
      </c>
      <c r="F43" s="4">
        <v>59.674406191143234</v>
      </c>
      <c r="G43" s="4">
        <v>59.161148946333014</v>
      </c>
      <c r="H43" s="4">
        <v>60.312377066784805</v>
      </c>
      <c r="I43" s="4">
        <v>59</v>
      </c>
      <c r="J43" s="4">
        <v>60.022509024418298</v>
      </c>
      <c r="K43" s="4">
        <v>59.688620148032797</v>
      </c>
      <c r="O43" t="s">
        <v>24</v>
      </c>
      <c r="P43" s="15">
        <v>53.893779682417978</v>
      </c>
      <c r="Q43" s="29">
        <v>54.234195461099688</v>
      </c>
      <c r="R43" s="29">
        <v>54.656010500782457</v>
      </c>
      <c r="S43" s="15">
        <v>54.579966907500371</v>
      </c>
      <c r="T43" s="15">
        <v>54.206674968415427</v>
      </c>
      <c r="U43" s="15">
        <v>56.749208110508548</v>
      </c>
      <c r="V43" s="15">
        <v>58.118420450290202</v>
      </c>
    </row>
    <row r="44" spans="2:22" x14ac:dyDescent="0.3">
      <c r="B44" s="44"/>
      <c r="C44" s="44"/>
      <c r="D44" s="2" t="s">
        <v>12</v>
      </c>
      <c r="E44" s="30">
        <v>800</v>
      </c>
      <c r="F44" s="3">
        <v>986</v>
      </c>
      <c r="G44" s="3">
        <v>1071</v>
      </c>
      <c r="H44" s="3">
        <v>1207</v>
      </c>
      <c r="I44" s="30">
        <v>1431</v>
      </c>
      <c r="J44" s="3">
        <v>1697</v>
      </c>
      <c r="K44" s="3">
        <v>1540</v>
      </c>
      <c r="O44" t="s">
        <v>23</v>
      </c>
      <c r="P44" s="4">
        <v>52.764586424199187</v>
      </c>
      <c r="Q44" s="4">
        <v>52.668155786614911</v>
      </c>
      <c r="R44" s="4">
        <v>53.842718761534172</v>
      </c>
      <c r="S44" s="4">
        <v>54.300438657410581</v>
      </c>
      <c r="T44" s="4">
        <v>53.653189295061068</v>
      </c>
      <c r="U44" s="4">
        <v>55.968304135092545</v>
      </c>
      <c r="V44" s="4">
        <v>57.387030063293501</v>
      </c>
    </row>
    <row r="45" spans="2:22" x14ac:dyDescent="0.3">
      <c r="B45" s="44"/>
      <c r="C45" s="44"/>
      <c r="D45" s="2" t="s">
        <v>13</v>
      </c>
      <c r="E45" s="4">
        <f>E44/5</f>
        <v>160</v>
      </c>
      <c r="F45" s="4">
        <f t="shared" ref="F45:J45" si="2">F44/5</f>
        <v>197.2</v>
      </c>
      <c r="G45" s="4">
        <f t="shared" si="2"/>
        <v>214.2</v>
      </c>
      <c r="H45" s="4">
        <f t="shared" si="2"/>
        <v>241.4</v>
      </c>
      <c r="I45" s="4">
        <f t="shared" si="2"/>
        <v>286.2</v>
      </c>
      <c r="J45" s="4">
        <f t="shared" si="2"/>
        <v>339.4</v>
      </c>
      <c r="K45" s="4">
        <f>K44/4</f>
        <v>385</v>
      </c>
    </row>
    <row r="46" spans="2:22" x14ac:dyDescent="0.3">
      <c r="B46" s="44"/>
      <c r="C46" s="44"/>
      <c r="D46" s="2" t="s">
        <v>11</v>
      </c>
      <c r="E46" s="12">
        <v>4.8671814996323199</v>
      </c>
      <c r="F46" s="13">
        <v>5.1204758710215099</v>
      </c>
      <c r="G46" s="13">
        <v>4.5888925617699252</v>
      </c>
      <c r="H46" s="13">
        <v>5.2008274825286547</v>
      </c>
      <c r="I46" s="13">
        <v>4.4954237025972983</v>
      </c>
      <c r="J46" s="9">
        <v>4.6742836506638685</v>
      </c>
      <c r="K46" s="13">
        <v>4.7987925799954141</v>
      </c>
    </row>
    <row r="47" spans="2:22" x14ac:dyDescent="0.3">
      <c r="B47" s="44"/>
      <c r="C47" s="44"/>
      <c r="D47" s="2" t="s">
        <v>14</v>
      </c>
      <c r="E47" s="6">
        <v>20622629</v>
      </c>
      <c r="F47" s="6">
        <v>22875003</v>
      </c>
      <c r="G47" s="11">
        <v>25068886</v>
      </c>
      <c r="H47" s="11">
        <v>25068886</v>
      </c>
      <c r="I47" s="6">
        <v>27944624</v>
      </c>
      <c r="J47" s="6">
        <v>28888146</v>
      </c>
      <c r="K47" s="11">
        <v>23811233</v>
      </c>
    </row>
    <row r="53" spans="2:19" x14ac:dyDescent="0.3">
      <c r="B53" s="43" t="s">
        <v>0</v>
      </c>
      <c r="C53" s="43"/>
      <c r="D53" s="36"/>
      <c r="E53" s="36" t="s">
        <v>1</v>
      </c>
      <c r="F53" s="36"/>
      <c r="G53" s="36"/>
      <c r="H53" s="36"/>
      <c r="I53" s="36"/>
      <c r="J53" s="36"/>
      <c r="M53" s="36"/>
      <c r="N53" s="36"/>
      <c r="O53" s="36"/>
      <c r="P53" s="36"/>
      <c r="Q53" s="36"/>
      <c r="R53" s="36"/>
      <c r="S53" s="36"/>
    </row>
    <row r="54" spans="2:19" x14ac:dyDescent="0.3">
      <c r="B54" s="44" t="s">
        <v>20</v>
      </c>
      <c r="C54" s="44"/>
      <c r="D54" s="36"/>
      <c r="E54" s="1" t="s">
        <v>3</v>
      </c>
      <c r="F54" s="1" t="s">
        <v>4</v>
      </c>
      <c r="G54" s="1" t="s">
        <v>5</v>
      </c>
      <c r="H54" s="1" t="s">
        <v>6</v>
      </c>
      <c r="I54" s="1" t="s">
        <v>7</v>
      </c>
      <c r="J54" s="1" t="s">
        <v>21</v>
      </c>
      <c r="M54" s="36"/>
      <c r="N54" s="1" t="s">
        <v>3</v>
      </c>
      <c r="O54" s="1" t="s">
        <v>4</v>
      </c>
      <c r="P54" s="1" t="s">
        <v>5</v>
      </c>
      <c r="Q54" s="1" t="s">
        <v>6</v>
      </c>
      <c r="R54" s="1" t="s">
        <v>7</v>
      </c>
      <c r="S54" s="1" t="s">
        <v>21</v>
      </c>
    </row>
    <row r="55" spans="2:19" x14ac:dyDescent="0.3">
      <c r="B55" s="44"/>
      <c r="C55" s="44"/>
      <c r="D55" s="2" t="s">
        <v>9</v>
      </c>
      <c r="E55" s="4">
        <v>50</v>
      </c>
      <c r="F55" s="3">
        <v>57</v>
      </c>
      <c r="G55" s="3">
        <v>65</v>
      </c>
      <c r="H55" s="3">
        <v>62</v>
      </c>
      <c r="I55" s="3">
        <v>55</v>
      </c>
      <c r="J55" s="3">
        <v>55</v>
      </c>
      <c r="M55" t="s">
        <v>1</v>
      </c>
      <c r="N55" s="23">
        <v>52.033717476422893</v>
      </c>
      <c r="O55" s="23">
        <v>54.038334270128345</v>
      </c>
      <c r="P55" s="23">
        <v>55.886466703456435</v>
      </c>
      <c r="Q55" s="23">
        <v>62.329772263648557</v>
      </c>
      <c r="R55" s="23">
        <v>51.640803537959634</v>
      </c>
      <c r="S55" s="23">
        <v>55.396816435308011</v>
      </c>
    </row>
    <row r="56" spans="2:19" x14ac:dyDescent="0.3">
      <c r="B56" s="44"/>
      <c r="C56" s="44"/>
      <c r="D56" s="2" t="s">
        <v>10</v>
      </c>
      <c r="E56" s="23">
        <v>52.033717476422893</v>
      </c>
      <c r="F56" s="23">
        <v>54.038334270128345</v>
      </c>
      <c r="G56" s="23">
        <v>55.886466703456435</v>
      </c>
      <c r="H56" s="23">
        <v>62.329772263648557</v>
      </c>
      <c r="I56" s="23">
        <v>51.640803537959634</v>
      </c>
      <c r="J56" s="23">
        <v>55.396816435308011</v>
      </c>
      <c r="M56" t="s">
        <v>24</v>
      </c>
      <c r="N56" s="23">
        <v>52.190966887183883</v>
      </c>
      <c r="O56" s="23">
        <v>49.582058766264403</v>
      </c>
      <c r="P56" s="23">
        <v>51.50972081593973</v>
      </c>
      <c r="Q56" s="23">
        <v>49.919744114269662</v>
      </c>
      <c r="R56" s="23">
        <v>50.337902586017947</v>
      </c>
      <c r="S56" s="23">
        <v>50.663675869786836</v>
      </c>
    </row>
    <row r="57" spans="2:19" x14ac:dyDescent="0.3">
      <c r="B57" s="44"/>
      <c r="C57" s="44"/>
      <c r="D57" s="2" t="s">
        <v>12</v>
      </c>
      <c r="E57" s="14">
        <v>11</v>
      </c>
      <c r="F57" s="14">
        <v>22</v>
      </c>
      <c r="G57" s="14">
        <v>24</v>
      </c>
      <c r="H57" s="14">
        <v>15</v>
      </c>
      <c r="I57" s="14">
        <v>30</v>
      </c>
      <c r="J57" s="14">
        <v>40</v>
      </c>
      <c r="M57" t="s">
        <v>23</v>
      </c>
      <c r="N57" s="4">
        <v>51.091782065232721</v>
      </c>
      <c r="O57" s="4">
        <v>51.248544751989037</v>
      </c>
      <c r="P57" s="4">
        <v>53.613790508932297</v>
      </c>
      <c r="Q57" s="4">
        <v>53.25158623059653</v>
      </c>
      <c r="R57" s="4">
        <v>56.272723781990969</v>
      </c>
      <c r="S57" s="4">
        <v>58.092535869855347</v>
      </c>
    </row>
    <row r="58" spans="2:19" x14ac:dyDescent="0.3">
      <c r="B58" s="44"/>
      <c r="C58" s="44"/>
      <c r="D58" s="2" t="s">
        <v>13</v>
      </c>
      <c r="E58" s="23">
        <f>E57/5</f>
        <v>2.2000000000000002</v>
      </c>
      <c r="F58" s="23">
        <f t="shared" ref="F58:J58" si="3">F57/5</f>
        <v>4.4000000000000004</v>
      </c>
      <c r="G58" s="23">
        <f t="shared" si="3"/>
        <v>4.8</v>
      </c>
      <c r="H58" s="23">
        <f t="shared" si="3"/>
        <v>3</v>
      </c>
      <c r="I58" s="23">
        <f t="shared" si="3"/>
        <v>6</v>
      </c>
      <c r="J58" s="23">
        <f t="shared" si="3"/>
        <v>8</v>
      </c>
    </row>
    <row r="59" spans="2:19" x14ac:dyDescent="0.3">
      <c r="B59" s="44"/>
      <c r="C59" s="44"/>
      <c r="D59" s="2" t="s">
        <v>11</v>
      </c>
      <c r="E59" s="25">
        <v>0.99458308422987229</v>
      </c>
      <c r="F59" s="25">
        <v>1.6932039471238745</v>
      </c>
      <c r="G59" s="25">
        <v>2.173989842032463</v>
      </c>
      <c r="H59" s="12">
        <v>1.3246658971829655</v>
      </c>
      <c r="I59" s="25">
        <v>2.4424261208209246</v>
      </c>
      <c r="J59" s="25">
        <v>2.1869156422844029</v>
      </c>
    </row>
    <row r="60" spans="2:19" x14ac:dyDescent="0.3">
      <c r="B60" s="44"/>
      <c r="C60" s="44"/>
      <c r="D60" s="2" t="s">
        <v>14</v>
      </c>
      <c r="E60" s="14">
        <v>1100448</v>
      </c>
      <c r="F60" s="24">
        <v>1149747</v>
      </c>
      <c r="G60" s="24">
        <v>1103961</v>
      </c>
      <c r="H60" s="24">
        <v>1132361</v>
      </c>
      <c r="I60" s="24">
        <v>1187344</v>
      </c>
      <c r="J60" s="24">
        <v>1244995</v>
      </c>
    </row>
    <row r="63" spans="2:19" x14ac:dyDescent="0.3">
      <c r="B63" s="43" t="s">
        <v>0</v>
      </c>
      <c r="C63" s="43"/>
      <c r="D63" s="36"/>
      <c r="E63" s="36" t="s">
        <v>1</v>
      </c>
      <c r="F63" s="36"/>
      <c r="G63" s="36"/>
      <c r="H63" s="36"/>
      <c r="I63" s="36"/>
      <c r="J63" s="36"/>
      <c r="M63" s="36"/>
      <c r="N63" s="36"/>
      <c r="O63" s="36"/>
      <c r="P63" s="36"/>
      <c r="Q63" s="36"/>
      <c r="R63" s="36"/>
      <c r="S63" s="36"/>
    </row>
    <row r="64" spans="2:19" x14ac:dyDescent="0.3">
      <c r="B64" s="44" t="s">
        <v>22</v>
      </c>
      <c r="C64" s="44"/>
      <c r="D64" s="36"/>
      <c r="E64" s="1" t="s">
        <v>3</v>
      </c>
      <c r="F64" s="1" t="s">
        <v>4</v>
      </c>
      <c r="G64" s="1" t="s">
        <v>5</v>
      </c>
      <c r="H64" s="1" t="s">
        <v>6</v>
      </c>
      <c r="I64" s="1" t="s">
        <v>7</v>
      </c>
      <c r="J64" s="1" t="s">
        <v>21</v>
      </c>
      <c r="M64" s="36"/>
      <c r="N64" s="1" t="s">
        <v>3</v>
      </c>
      <c r="O64" s="1" t="s">
        <v>4</v>
      </c>
      <c r="P64" s="1" t="s">
        <v>5</v>
      </c>
      <c r="Q64" s="1" t="s">
        <v>6</v>
      </c>
      <c r="R64" s="1" t="s">
        <v>7</v>
      </c>
      <c r="S64" s="1" t="s">
        <v>21</v>
      </c>
    </row>
    <row r="65" spans="2:19" x14ac:dyDescent="0.3">
      <c r="B65" s="44"/>
      <c r="C65" s="44"/>
      <c r="D65" s="2" t="s">
        <v>9</v>
      </c>
      <c r="E65" s="4">
        <v>60</v>
      </c>
      <c r="F65" s="3">
        <v>55</v>
      </c>
      <c r="G65" s="3">
        <v>60</v>
      </c>
      <c r="H65" s="3">
        <v>55</v>
      </c>
      <c r="I65" s="3">
        <v>55</v>
      </c>
      <c r="J65" s="3">
        <v>55</v>
      </c>
      <c r="M65" t="s">
        <v>1</v>
      </c>
      <c r="N65" s="4">
        <v>61.277300069421123</v>
      </c>
      <c r="O65" s="23">
        <v>57.597388743655266</v>
      </c>
      <c r="P65" s="4">
        <v>61.330384664084193</v>
      </c>
      <c r="Q65" s="4">
        <v>58.492832775610374</v>
      </c>
      <c r="R65" s="4">
        <v>57.843118221901051</v>
      </c>
      <c r="S65" s="4">
        <v>56.261924701551152</v>
      </c>
    </row>
    <row r="66" spans="2:19" x14ac:dyDescent="0.3">
      <c r="B66" s="44"/>
      <c r="C66" s="44"/>
      <c r="D66" s="2" t="s">
        <v>10</v>
      </c>
      <c r="E66" s="4">
        <v>61.277300069421123</v>
      </c>
      <c r="F66" s="23">
        <v>57.597388743655266</v>
      </c>
      <c r="G66" s="4">
        <v>61.330384664084193</v>
      </c>
      <c r="H66" s="4">
        <v>58.492832775610374</v>
      </c>
      <c r="I66" s="4">
        <v>57.843118221901051</v>
      </c>
      <c r="J66" s="4">
        <v>56.261924701551152</v>
      </c>
      <c r="M66" t="s">
        <v>24</v>
      </c>
      <c r="N66" s="4">
        <v>51.658433526356511</v>
      </c>
      <c r="O66" s="4">
        <v>51.211727314069215</v>
      </c>
      <c r="P66" s="4">
        <v>52.123014715906969</v>
      </c>
      <c r="Q66" s="4">
        <v>52.582045930731887</v>
      </c>
      <c r="R66" s="4">
        <v>53.557808149124959</v>
      </c>
      <c r="S66" s="4">
        <v>53.023940581393013</v>
      </c>
    </row>
    <row r="67" spans="2:19" x14ac:dyDescent="0.3">
      <c r="B67" s="44"/>
      <c r="C67" s="44"/>
      <c r="D67" s="2" t="s">
        <v>12</v>
      </c>
      <c r="E67" s="14">
        <v>88</v>
      </c>
      <c r="F67" s="14">
        <v>138</v>
      </c>
      <c r="G67" s="14">
        <v>180</v>
      </c>
      <c r="H67" s="14">
        <v>221</v>
      </c>
      <c r="I67" s="14">
        <v>350</v>
      </c>
      <c r="J67" s="14">
        <v>489</v>
      </c>
      <c r="M67" t="s">
        <v>23</v>
      </c>
      <c r="N67" s="4">
        <v>51.50612878521892</v>
      </c>
      <c r="O67" s="4">
        <v>54.269769250488778</v>
      </c>
      <c r="P67" s="4">
        <v>54.067146466756434</v>
      </c>
      <c r="Q67" s="4">
        <v>53.936475560380238</v>
      </c>
      <c r="R67" s="4">
        <v>55.476112283886323</v>
      </c>
      <c r="S67" s="4">
        <v>54.386997094962346</v>
      </c>
    </row>
    <row r="68" spans="2:19" x14ac:dyDescent="0.3">
      <c r="B68" s="44"/>
      <c r="C68" s="44"/>
      <c r="D68" s="2" t="s">
        <v>13</v>
      </c>
      <c r="E68" s="23">
        <f>E67/5</f>
        <v>17.600000000000001</v>
      </c>
      <c r="F68" s="23">
        <f t="shared" ref="F68:J68" si="4">F67/5</f>
        <v>27.6</v>
      </c>
      <c r="G68" s="23">
        <f t="shared" si="4"/>
        <v>36</v>
      </c>
      <c r="H68" s="23">
        <f t="shared" si="4"/>
        <v>44.2</v>
      </c>
      <c r="I68" s="23">
        <f t="shared" si="4"/>
        <v>70</v>
      </c>
      <c r="J68" s="23">
        <f t="shared" si="4"/>
        <v>97.8</v>
      </c>
    </row>
    <row r="69" spans="2:19" x14ac:dyDescent="0.3">
      <c r="B69" s="44"/>
      <c r="C69" s="44"/>
      <c r="D69" s="2" t="s">
        <v>11</v>
      </c>
      <c r="E69" s="25">
        <v>4.9121306036353971</v>
      </c>
      <c r="F69" s="25">
        <v>5.832962802173089</v>
      </c>
      <c r="G69" s="25">
        <v>5.9400432539675734</v>
      </c>
      <c r="H69" s="12">
        <v>5.7497852258819915</v>
      </c>
      <c r="I69" s="25">
        <v>7.2141486015547249</v>
      </c>
      <c r="J69" s="25">
        <v>8.2265304951423879</v>
      </c>
    </row>
    <row r="70" spans="2:19" x14ac:dyDescent="0.3">
      <c r="B70" s="44"/>
      <c r="C70" s="44"/>
      <c r="D70" s="2" t="s">
        <v>14</v>
      </c>
      <c r="E70" s="11">
        <v>2658384</v>
      </c>
      <c r="F70" s="11">
        <v>3123604</v>
      </c>
      <c r="G70" s="11">
        <v>3636214</v>
      </c>
      <c r="H70" s="11">
        <v>4164525</v>
      </c>
      <c r="I70" s="24">
        <v>4766691</v>
      </c>
      <c r="J70" s="11">
        <v>5455919</v>
      </c>
    </row>
  </sheetData>
  <mergeCells count="28">
    <mergeCell ref="M53:M54"/>
    <mergeCell ref="N53:S53"/>
    <mergeCell ref="M63:M64"/>
    <mergeCell ref="N63:S63"/>
    <mergeCell ref="B53:C53"/>
    <mergeCell ref="D53:D54"/>
    <mergeCell ref="E53:J53"/>
    <mergeCell ref="B54:C60"/>
    <mergeCell ref="B63:C63"/>
    <mergeCell ref="D63:D64"/>
    <mergeCell ref="E63:J63"/>
    <mergeCell ref="B64:C70"/>
    <mergeCell ref="B28:C28"/>
    <mergeCell ref="D28:D29"/>
    <mergeCell ref="B29:C35"/>
    <mergeCell ref="O28:O29"/>
    <mergeCell ref="B40:C40"/>
    <mergeCell ref="D40:D41"/>
    <mergeCell ref="B41:C47"/>
    <mergeCell ref="O40:O41"/>
    <mergeCell ref="G5:I5"/>
    <mergeCell ref="F6:J7"/>
    <mergeCell ref="O9:O10"/>
    <mergeCell ref="P9:U9"/>
    <mergeCell ref="B17:C17"/>
    <mergeCell ref="D17:D18"/>
    <mergeCell ref="B18:C24"/>
    <mergeCell ref="O17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Oral</vt:lpstr>
      <vt:lpstr>Breast</vt:lpstr>
      <vt:lpstr>Cervix</vt:lpstr>
      <vt:lpstr>All Sites</vt:lpstr>
      <vt:lpstr>Corr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!</dc:creator>
  <cp:lastModifiedBy>Goku !</cp:lastModifiedBy>
  <dcterms:created xsi:type="dcterms:W3CDTF">2026-01-05T05:18:29Z</dcterms:created>
  <dcterms:modified xsi:type="dcterms:W3CDTF">2026-01-30T08:48:09Z</dcterms:modified>
</cp:coreProperties>
</file>