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go\Downloads\INTERN-FILE\Comparision File\"/>
    </mc:Choice>
  </mc:AlternateContent>
  <xr:revisionPtr revIDLastSave="0" documentId="13_ncr:1_{84129276-986C-42A7-B5D4-FEA3C8330C55}" xr6:coauthVersionLast="47" xr6:coauthVersionMax="47" xr10:uidLastSave="{00000000-0000-0000-0000-000000000000}"/>
  <bookViews>
    <workbookView xWindow="-108" yWindow="-108" windowWidth="23256" windowHeight="12456" xr2:uid="{D7B3E37C-C14D-4A82-80CC-51287B37BAC3}"/>
  </bookViews>
  <sheets>
    <sheet name="Delhi" sheetId="1" r:id="rId1"/>
    <sheet name="Bangalore" sheetId="2" r:id="rId2"/>
    <sheet name="Chenna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2" l="1"/>
</calcChain>
</file>

<file path=xl/sharedStrings.xml><?xml version="1.0" encoding="utf-8"?>
<sst xmlns="http://schemas.openxmlformats.org/spreadsheetml/2006/main" count="163" uniqueCount="24">
  <si>
    <t>Distribution of  (ISP)</t>
  </si>
  <si>
    <t>Site</t>
  </si>
  <si>
    <t>1990-1994</t>
  </si>
  <si>
    <t>1995-1999</t>
  </si>
  <si>
    <t>2000-2004</t>
  </si>
  <si>
    <t>2005-2009</t>
  </si>
  <si>
    <t>2010-2014</t>
  </si>
  <si>
    <t>2015-2017</t>
  </si>
  <si>
    <t>Oral</t>
  </si>
  <si>
    <t>Lung</t>
  </si>
  <si>
    <t>Prostate</t>
  </si>
  <si>
    <t>All sites</t>
  </si>
  <si>
    <t>Crude Median Age</t>
  </si>
  <si>
    <t>Adjusted Median Age</t>
  </si>
  <si>
    <t>Average Cases</t>
  </si>
  <si>
    <t>Population</t>
  </si>
  <si>
    <t>AAIR</t>
  </si>
  <si>
    <t xml:space="preserve"> Total no. of . Cases</t>
  </si>
  <si>
    <t>1985-1989</t>
  </si>
  <si>
    <t>2015-2018</t>
  </si>
  <si>
    <t>Distribution of Adjusted Median Age at Diagnosis Over Time (ISP)</t>
  </si>
  <si>
    <t>Male</t>
  </si>
  <si>
    <t>Lungs</t>
  </si>
  <si>
    <t>Distribution of Adjuted median age at diagnosis -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</si>
</sst>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E+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charset val="1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2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2" fillId="0" borderId="1" xfId="0" applyNumberFormat="1" applyFont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5FC9-D3A1-43F7-99A7-FB865C9D5CEE}">
  <dimension ref="G3:Y32"/>
  <sheetViews>
    <sheetView tabSelected="1" zoomScaleNormal="100" workbookViewId="0">
      <selection activeCell="P10" sqref="P10"/>
    </sheetView>
  </sheetViews>
  <sheetFormatPr defaultRowHeight="14.4" x14ac:dyDescent="0.3"/>
  <cols>
    <col min="7" max="7" width="17.77734375" bestFit="1" customWidth="1"/>
    <col min="8" max="13" width="9.6640625" bestFit="1" customWidth="1"/>
  </cols>
  <sheetData>
    <row r="3" spans="7:25" x14ac:dyDescent="0.3">
      <c r="S3" s="11" t="s">
        <v>0</v>
      </c>
      <c r="T3" s="11"/>
      <c r="U3" s="11"/>
      <c r="V3" s="11"/>
      <c r="W3" s="11"/>
      <c r="X3" s="11"/>
      <c r="Y3" s="11"/>
    </row>
    <row r="4" spans="7:25" x14ac:dyDescent="0.3">
      <c r="G4" s="11"/>
      <c r="H4" s="11" t="s">
        <v>8</v>
      </c>
      <c r="I4" s="11"/>
      <c r="J4" s="11"/>
      <c r="K4" s="11"/>
      <c r="L4" s="11"/>
      <c r="M4" s="11"/>
      <c r="S4" s="2" t="s">
        <v>1</v>
      </c>
      <c r="T4" s="3" t="s">
        <v>2</v>
      </c>
      <c r="U4" s="3" t="s">
        <v>3</v>
      </c>
      <c r="V4" s="3" t="s">
        <v>4</v>
      </c>
      <c r="W4" s="3" t="s">
        <v>5</v>
      </c>
      <c r="X4" s="3" t="s">
        <v>6</v>
      </c>
      <c r="Y4" s="3" t="s">
        <v>7</v>
      </c>
    </row>
    <row r="5" spans="7:25" x14ac:dyDescent="0.3">
      <c r="G5" s="11"/>
      <c r="H5" s="3" t="s">
        <v>2</v>
      </c>
      <c r="I5" s="3" t="s">
        <v>3</v>
      </c>
      <c r="J5" s="93" t="s">
        <v>4</v>
      </c>
      <c r="K5" s="3" t="s">
        <v>5</v>
      </c>
      <c r="L5" s="3" t="s">
        <v>6</v>
      </c>
      <c r="M5" s="3" t="s">
        <v>7</v>
      </c>
      <c r="S5" s="4" t="s">
        <v>8</v>
      </c>
      <c r="T5" s="5">
        <v>59.385738329214341</v>
      </c>
      <c r="U5" s="5">
        <v>59.247745171706754</v>
      </c>
      <c r="V5" s="5">
        <v>59.096195293245586</v>
      </c>
      <c r="W5" s="5">
        <v>57.753667830858923</v>
      </c>
      <c r="X5" s="5">
        <v>56.780887842452088</v>
      </c>
      <c r="Y5" s="5">
        <v>55.017623311489032</v>
      </c>
    </row>
    <row r="6" spans="7:25" x14ac:dyDescent="0.3">
      <c r="G6" s="12" t="s">
        <v>17</v>
      </c>
      <c r="H6" s="10">
        <v>1394</v>
      </c>
      <c r="I6" s="10">
        <v>1790</v>
      </c>
      <c r="J6" s="94">
        <v>2360</v>
      </c>
      <c r="K6" s="10">
        <v>4170</v>
      </c>
      <c r="L6" s="10">
        <v>6734</v>
      </c>
      <c r="M6" s="10">
        <v>4995</v>
      </c>
      <c r="S6" s="4" t="s">
        <v>9</v>
      </c>
      <c r="T6" s="5">
        <v>61.831392033873314</v>
      </c>
      <c r="U6" s="5">
        <v>62.340396367067669</v>
      </c>
      <c r="V6" s="5">
        <v>62.613899096254492</v>
      </c>
      <c r="W6" s="5">
        <v>63.284570339734373</v>
      </c>
      <c r="X6" s="5">
        <v>63.766185060751233</v>
      </c>
      <c r="Y6" s="5">
        <v>64</v>
      </c>
    </row>
    <row r="7" spans="7:25" x14ac:dyDescent="0.3">
      <c r="G7" s="12" t="s">
        <v>14</v>
      </c>
      <c r="H7" s="10">
        <v>86</v>
      </c>
      <c r="I7" s="10">
        <v>111.5</v>
      </c>
      <c r="J7" s="94">
        <v>146.25</v>
      </c>
      <c r="K7" s="10">
        <v>258.5625</v>
      </c>
      <c r="L7" s="10">
        <v>419.125</v>
      </c>
      <c r="M7" s="10">
        <v>309.75</v>
      </c>
      <c r="S7" s="4" t="s">
        <v>10</v>
      </c>
      <c r="T7" s="5">
        <v>70.784161839925346</v>
      </c>
      <c r="U7" s="5">
        <v>70.713994438298002</v>
      </c>
      <c r="V7" s="5">
        <v>70.945933691496009</v>
      </c>
      <c r="W7" s="5">
        <v>71.694828479829411</v>
      </c>
      <c r="X7" s="5">
        <v>71.342083159846894</v>
      </c>
      <c r="Y7" s="5">
        <v>72</v>
      </c>
    </row>
    <row r="8" spans="7:25" x14ac:dyDescent="0.3">
      <c r="G8" s="12" t="s">
        <v>15</v>
      </c>
      <c r="H8" s="10">
        <v>24563438</v>
      </c>
      <c r="I8" s="13">
        <v>30364842</v>
      </c>
      <c r="J8" s="13">
        <v>36360806</v>
      </c>
      <c r="K8" s="13">
        <v>40542555</v>
      </c>
      <c r="L8" s="13">
        <v>45083087</v>
      </c>
      <c r="M8" s="13">
        <v>29438550</v>
      </c>
      <c r="S8" s="6" t="s">
        <v>11</v>
      </c>
      <c r="T8" s="7">
        <v>59.347466337089841</v>
      </c>
      <c r="U8" s="1">
        <v>60</v>
      </c>
      <c r="V8" s="7">
        <v>60.323599078546437</v>
      </c>
      <c r="W8" s="7">
        <v>60.365549181189259</v>
      </c>
      <c r="X8" s="7">
        <v>60.714629354637047</v>
      </c>
      <c r="Y8" s="7">
        <v>61</v>
      </c>
    </row>
    <row r="9" spans="7:25" x14ac:dyDescent="0.3">
      <c r="G9" s="12" t="s">
        <v>16</v>
      </c>
      <c r="H9" s="10">
        <v>7.4929438435286153</v>
      </c>
      <c r="I9" s="10">
        <v>7.7209003911681391</v>
      </c>
      <c r="J9" s="94">
        <v>8.0091091908514542</v>
      </c>
      <c r="K9" s="10">
        <v>11.249698320311065</v>
      </c>
      <c r="L9" s="10">
        <v>14.930335854600012</v>
      </c>
      <c r="M9" s="10">
        <v>15.843164650788898</v>
      </c>
    </row>
    <row r="10" spans="7:25" x14ac:dyDescent="0.3">
      <c r="G10" s="12" t="s">
        <v>12</v>
      </c>
      <c r="H10" s="10">
        <v>55</v>
      </c>
      <c r="I10" s="10">
        <v>55</v>
      </c>
      <c r="J10" s="94">
        <v>55</v>
      </c>
      <c r="K10" s="10">
        <v>54</v>
      </c>
      <c r="L10" s="10">
        <v>53</v>
      </c>
      <c r="M10" s="10">
        <v>52</v>
      </c>
    </row>
    <row r="11" spans="7:25" x14ac:dyDescent="0.3">
      <c r="G11" s="12" t="s">
        <v>13</v>
      </c>
      <c r="H11" s="5">
        <v>59.385738329214341</v>
      </c>
      <c r="I11" s="5">
        <v>59.247745171706754</v>
      </c>
      <c r="J11" s="95">
        <v>59.096195293245586</v>
      </c>
      <c r="K11" s="5">
        <v>57.753667830858923</v>
      </c>
      <c r="L11" s="5">
        <v>56.780887842452088</v>
      </c>
      <c r="M11" s="5">
        <v>55.017623311489032</v>
      </c>
    </row>
    <row r="14" spans="7:25" x14ac:dyDescent="0.3">
      <c r="G14" s="11"/>
      <c r="H14" s="11" t="s">
        <v>9</v>
      </c>
      <c r="I14" s="11"/>
      <c r="J14" s="11"/>
      <c r="K14" s="11"/>
      <c r="L14" s="11"/>
      <c r="M14" s="11"/>
    </row>
    <row r="15" spans="7:25" x14ac:dyDescent="0.3">
      <c r="G15" s="11"/>
      <c r="H15" s="3" t="s">
        <v>2</v>
      </c>
      <c r="I15" s="3" t="s">
        <v>3</v>
      </c>
      <c r="J15" s="3" t="s">
        <v>4</v>
      </c>
      <c r="K15" s="3" t="s">
        <v>5</v>
      </c>
      <c r="L15" s="3" t="s">
        <v>6</v>
      </c>
      <c r="M15" s="3" t="s">
        <v>7</v>
      </c>
    </row>
    <row r="16" spans="7:25" x14ac:dyDescent="0.3">
      <c r="G16" s="12" t="s">
        <v>17</v>
      </c>
      <c r="H16" s="10">
        <v>1689</v>
      </c>
      <c r="I16" s="33">
        <v>2089</v>
      </c>
      <c r="J16" s="33">
        <v>2720</v>
      </c>
      <c r="K16" s="33">
        <v>3517</v>
      </c>
      <c r="L16" s="10">
        <v>5152</v>
      </c>
      <c r="M16" s="23">
        <v>3677</v>
      </c>
    </row>
    <row r="17" spans="7:13" x14ac:dyDescent="0.3">
      <c r="G17" s="12" t="s">
        <v>14</v>
      </c>
      <c r="H17" s="10">
        <v>104.375</v>
      </c>
      <c r="I17" s="10">
        <v>130.125</v>
      </c>
      <c r="J17" s="10">
        <v>168.4375</v>
      </c>
      <c r="K17" s="10">
        <v>218.625</v>
      </c>
      <c r="L17" s="30">
        <v>319.75</v>
      </c>
      <c r="M17" s="8">
        <v>228.625</v>
      </c>
    </row>
    <row r="18" spans="7:13" x14ac:dyDescent="0.3">
      <c r="G18" s="12" t="s">
        <v>15</v>
      </c>
      <c r="H18" s="9">
        <v>24563438</v>
      </c>
      <c r="I18" s="9">
        <v>30364842</v>
      </c>
      <c r="J18" s="9">
        <v>36360806</v>
      </c>
      <c r="K18" s="9">
        <v>40542555</v>
      </c>
      <c r="L18" s="9">
        <v>45083087</v>
      </c>
      <c r="M18" s="9">
        <v>29438550</v>
      </c>
    </row>
    <row r="19" spans="7:13" x14ac:dyDescent="0.3">
      <c r="G19" s="12" t="s">
        <v>16</v>
      </c>
      <c r="H19" s="10">
        <v>9.5819752646478289</v>
      </c>
      <c r="I19" s="10">
        <v>9.6093565483395871</v>
      </c>
      <c r="J19" s="10">
        <v>9.9518916616615698</v>
      </c>
      <c r="K19" s="10">
        <v>6.0175889599514285</v>
      </c>
      <c r="L19" s="10">
        <v>12.441121241712001</v>
      </c>
      <c r="M19" s="24">
        <v>12.833350971679295</v>
      </c>
    </row>
    <row r="20" spans="7:13" x14ac:dyDescent="0.3">
      <c r="G20" s="12" t="s">
        <v>12</v>
      </c>
      <c r="H20" s="15">
        <v>58</v>
      </c>
      <c r="I20" s="16">
        <v>60</v>
      </c>
      <c r="J20" s="17">
        <v>60</v>
      </c>
      <c r="K20" s="18">
        <v>60</v>
      </c>
      <c r="L20" s="19">
        <v>61</v>
      </c>
      <c r="M20" s="21">
        <v>62</v>
      </c>
    </row>
    <row r="21" spans="7:13" x14ac:dyDescent="0.3">
      <c r="G21" s="12" t="s">
        <v>13</v>
      </c>
      <c r="H21" s="5">
        <v>61.831392033873314</v>
      </c>
      <c r="I21" s="5">
        <v>62.340396367067669</v>
      </c>
      <c r="J21" s="5">
        <v>62.613899096254492</v>
      </c>
      <c r="K21" s="5">
        <v>63.284570339734373</v>
      </c>
      <c r="L21" s="5">
        <v>63.766185060751233</v>
      </c>
      <c r="M21" s="22">
        <v>64</v>
      </c>
    </row>
    <row r="25" spans="7:13" x14ac:dyDescent="0.3">
      <c r="G25" s="11"/>
      <c r="H25" s="11" t="s">
        <v>10</v>
      </c>
      <c r="I25" s="11"/>
      <c r="J25" s="11"/>
      <c r="K25" s="11"/>
      <c r="L25" s="11"/>
      <c r="M25" s="11"/>
    </row>
    <row r="26" spans="7:13" x14ac:dyDescent="0.3">
      <c r="G26" s="11"/>
      <c r="H26" s="20" t="s">
        <v>2</v>
      </c>
      <c r="I26" s="20" t="s">
        <v>3</v>
      </c>
      <c r="J26" s="20" t="s">
        <v>4</v>
      </c>
      <c r="K26" s="20" t="s">
        <v>5</v>
      </c>
      <c r="L26" s="20" t="s">
        <v>6</v>
      </c>
      <c r="M26" s="20" t="s">
        <v>7</v>
      </c>
    </row>
    <row r="27" spans="7:13" x14ac:dyDescent="0.3">
      <c r="G27" s="12" t="s">
        <v>17</v>
      </c>
      <c r="H27" s="33">
        <v>736</v>
      </c>
      <c r="I27" s="34">
        <v>1023</v>
      </c>
      <c r="J27" s="33">
        <v>1542</v>
      </c>
      <c r="K27" s="33">
        <v>2389</v>
      </c>
      <c r="L27" s="33">
        <v>3193</v>
      </c>
      <c r="M27" s="33">
        <v>2434</v>
      </c>
    </row>
    <row r="28" spans="7:13" x14ac:dyDescent="0.3">
      <c r="G28" s="12" t="s">
        <v>14</v>
      </c>
      <c r="H28" s="30">
        <v>45.3125</v>
      </c>
      <c r="I28" s="21">
        <v>63.375</v>
      </c>
      <c r="J28" s="21">
        <v>95.9375</v>
      </c>
      <c r="K28" s="21">
        <v>148.0625</v>
      </c>
      <c r="L28" s="21">
        <v>198.375</v>
      </c>
      <c r="M28" s="30">
        <v>151.125</v>
      </c>
    </row>
    <row r="29" spans="7:13" x14ac:dyDescent="0.3">
      <c r="G29" s="12" t="s">
        <v>15</v>
      </c>
      <c r="H29" s="31">
        <v>24563438</v>
      </c>
      <c r="I29" s="13">
        <v>30364842</v>
      </c>
      <c r="J29" s="13">
        <v>36360806</v>
      </c>
      <c r="K29" s="13">
        <v>40542555</v>
      </c>
      <c r="L29" s="13">
        <v>45083087</v>
      </c>
      <c r="M29" s="13">
        <v>29438550</v>
      </c>
    </row>
    <row r="30" spans="7:13" x14ac:dyDescent="0.3">
      <c r="G30" s="12" t="s">
        <v>16</v>
      </c>
      <c r="H30">
        <v>4.793394004475628</v>
      </c>
      <c r="I30">
        <v>5.323866067261795</v>
      </c>
      <c r="J30">
        <v>6.3425439427957455</v>
      </c>
      <c r="K30">
        <v>7.8283755884100552</v>
      </c>
      <c r="L30">
        <v>8.5405845536657345</v>
      </c>
      <c r="M30" s="24">
        <v>9.3509606731451633</v>
      </c>
    </row>
    <row r="31" spans="7:13" x14ac:dyDescent="0.3">
      <c r="G31" s="12" t="s">
        <v>12</v>
      </c>
      <c r="H31" s="25">
        <v>69</v>
      </c>
      <c r="I31" s="26">
        <v>70</v>
      </c>
      <c r="J31" s="27">
        <v>70</v>
      </c>
      <c r="K31" s="28">
        <v>70</v>
      </c>
      <c r="L31" s="29">
        <v>70</v>
      </c>
      <c r="M31" s="31">
        <v>70</v>
      </c>
    </row>
    <row r="32" spans="7:13" x14ac:dyDescent="0.3">
      <c r="G32" s="12" t="s">
        <v>13</v>
      </c>
      <c r="H32" s="32">
        <v>70.784161839925346</v>
      </c>
      <c r="I32" s="32">
        <v>70.713994438298002</v>
      </c>
      <c r="J32" s="32">
        <v>70.945933691496009</v>
      </c>
      <c r="K32" s="32">
        <v>71.694828479829411</v>
      </c>
      <c r="L32" s="32">
        <v>71.342083159846894</v>
      </c>
      <c r="M32" s="32">
        <v>72</v>
      </c>
    </row>
  </sheetData>
  <mergeCells count="7">
    <mergeCell ref="G25:G26"/>
    <mergeCell ref="H25:M25"/>
    <mergeCell ref="S3:Y3"/>
    <mergeCell ref="G4:G5"/>
    <mergeCell ref="H4:M4"/>
    <mergeCell ref="G14:G15"/>
    <mergeCell ref="H14:M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7F98-27DC-4F3F-B8E3-F809096D4B0C}">
  <dimension ref="G3:AA30"/>
  <sheetViews>
    <sheetView workbookViewId="0">
      <selection activeCell="P21" sqref="P21"/>
    </sheetView>
  </sheetViews>
  <sheetFormatPr defaultRowHeight="14.4" x14ac:dyDescent="0.3"/>
  <cols>
    <col min="7" max="7" width="17.77734375" bestFit="1" customWidth="1"/>
    <col min="8" max="12" width="9.6640625" bestFit="1" customWidth="1"/>
    <col min="13" max="13" width="10.5546875" bestFit="1" customWidth="1"/>
  </cols>
  <sheetData>
    <row r="3" spans="7:27" x14ac:dyDescent="0.3">
      <c r="G3" s="11"/>
      <c r="H3" s="44" t="s">
        <v>8</v>
      </c>
      <c r="I3" s="45"/>
      <c r="J3" s="45"/>
      <c r="K3" s="45"/>
      <c r="L3" s="45"/>
      <c r="M3" s="45"/>
      <c r="N3" s="46"/>
    </row>
    <row r="4" spans="7:27" x14ac:dyDescent="0.3">
      <c r="G4" s="11"/>
      <c r="H4" s="36" t="s">
        <v>18</v>
      </c>
      <c r="I4" s="37" t="s">
        <v>2</v>
      </c>
      <c r="J4" s="37" t="s">
        <v>3</v>
      </c>
      <c r="K4" s="37" t="s">
        <v>4</v>
      </c>
      <c r="L4" s="37" t="s">
        <v>5</v>
      </c>
      <c r="M4" s="37" t="s">
        <v>6</v>
      </c>
      <c r="N4" s="37" t="s">
        <v>19</v>
      </c>
    </row>
    <row r="5" spans="7:27" x14ac:dyDescent="0.3">
      <c r="G5" s="12" t="s">
        <v>17</v>
      </c>
      <c r="H5" s="48">
        <v>396</v>
      </c>
      <c r="I5" s="48">
        <v>451</v>
      </c>
      <c r="J5" s="48">
        <v>494</v>
      </c>
      <c r="K5" s="48">
        <v>646</v>
      </c>
      <c r="L5" s="48">
        <v>1086</v>
      </c>
      <c r="M5" s="48">
        <v>1671</v>
      </c>
      <c r="N5" s="48">
        <v>2162</v>
      </c>
      <c r="S5" s="35"/>
      <c r="T5" s="11" t="s">
        <v>20</v>
      </c>
      <c r="U5" s="11"/>
      <c r="V5" s="11"/>
      <c r="W5" s="11"/>
      <c r="X5" s="11"/>
      <c r="Y5" s="11"/>
      <c r="Z5" s="11"/>
      <c r="AA5" s="11"/>
    </row>
    <row r="6" spans="7:27" x14ac:dyDescent="0.3">
      <c r="G6" s="12" t="s">
        <v>14</v>
      </c>
      <c r="H6" s="48">
        <v>24.75</v>
      </c>
      <c r="I6" s="48">
        <v>28</v>
      </c>
      <c r="J6" s="48">
        <v>30.875</v>
      </c>
      <c r="K6" s="48">
        <v>40.3125</v>
      </c>
      <c r="L6" s="48">
        <v>67.75</v>
      </c>
      <c r="M6" s="48">
        <v>104.4375</v>
      </c>
      <c r="N6" s="48">
        <v>135.125</v>
      </c>
      <c r="S6" s="41" t="s">
        <v>21</v>
      </c>
      <c r="T6" s="36" t="s">
        <v>1</v>
      </c>
      <c r="U6" s="36" t="s">
        <v>18</v>
      </c>
      <c r="V6" s="37" t="s">
        <v>2</v>
      </c>
      <c r="W6" s="37" t="s">
        <v>3</v>
      </c>
      <c r="X6" s="37" t="s">
        <v>4</v>
      </c>
      <c r="Y6" s="37" t="s">
        <v>5</v>
      </c>
      <c r="Z6" s="37" t="s">
        <v>6</v>
      </c>
      <c r="AA6" s="37" t="s">
        <v>19</v>
      </c>
    </row>
    <row r="7" spans="7:27" x14ac:dyDescent="0.3">
      <c r="G7" s="12" t="s">
        <v>15</v>
      </c>
      <c r="H7" s="50">
        <v>9951481</v>
      </c>
      <c r="I7" s="50">
        <v>11446640</v>
      </c>
      <c r="J7" s="50">
        <v>13391085</v>
      </c>
      <c r="K7" s="50">
        <v>15675396</v>
      </c>
      <c r="L7" s="13">
        <v>18566184</v>
      </c>
      <c r="M7" s="13">
        <v>22017283</v>
      </c>
      <c r="N7" s="50">
        <v>20525875</v>
      </c>
      <c r="S7" s="41"/>
      <c r="T7" s="38" t="s">
        <v>8</v>
      </c>
      <c r="U7" s="42">
        <v>60.432031342337616</v>
      </c>
      <c r="V7" s="39">
        <v>60.831708673106355</v>
      </c>
      <c r="W7" s="39">
        <v>61.334422998033681</v>
      </c>
      <c r="X7" s="39">
        <v>61.135956954696944</v>
      </c>
      <c r="Y7" s="39">
        <v>59.479217720159809</v>
      </c>
      <c r="Z7" s="39">
        <v>58.332332448618352</v>
      </c>
      <c r="AA7" s="39">
        <v>57.732080691579846</v>
      </c>
    </row>
    <row r="8" spans="7:27" x14ac:dyDescent="0.3">
      <c r="G8" s="12" t="s">
        <v>16</v>
      </c>
      <c r="H8" s="48">
        <v>5.1119710143249399</v>
      </c>
      <c r="I8" s="48">
        <v>4.8294912336889295</v>
      </c>
      <c r="J8" s="48">
        <v>4.3995216623612281</v>
      </c>
      <c r="K8" s="48">
        <v>4.5895345426796768</v>
      </c>
      <c r="L8" s="48">
        <v>5.9227397584887598</v>
      </c>
      <c r="M8" s="51">
        <v>7.2246228755449993</v>
      </c>
      <c r="N8" s="48">
        <v>9.6521581476929832</v>
      </c>
      <c r="S8" s="41"/>
      <c r="T8" s="38" t="s">
        <v>9</v>
      </c>
      <c r="U8" s="42">
        <v>62.238568295546919</v>
      </c>
      <c r="V8" s="39">
        <v>63.07096615096598</v>
      </c>
      <c r="W8" s="39">
        <v>63.979261171043419</v>
      </c>
      <c r="X8" s="39">
        <v>65.336917267971685</v>
      </c>
      <c r="Y8" s="39">
        <v>65.521266993572468</v>
      </c>
      <c r="Z8" s="39">
        <v>65.252687436860029</v>
      </c>
      <c r="AA8" s="39">
        <v>65.33717887269998</v>
      </c>
    </row>
    <row r="9" spans="7:27" x14ac:dyDescent="0.3">
      <c r="G9" s="12" t="s">
        <v>12</v>
      </c>
      <c r="H9" s="48">
        <v>57</v>
      </c>
      <c r="I9" s="48">
        <v>57</v>
      </c>
      <c r="J9" s="48">
        <v>58</v>
      </c>
      <c r="K9" s="48">
        <v>58</v>
      </c>
      <c r="L9" s="48">
        <v>56</v>
      </c>
      <c r="M9" s="48">
        <v>55</v>
      </c>
      <c r="N9" s="48">
        <v>56</v>
      </c>
      <c r="S9" s="41"/>
      <c r="T9" s="38" t="s">
        <v>10</v>
      </c>
      <c r="U9" s="42">
        <v>70.592023499584243</v>
      </c>
      <c r="V9" s="39">
        <v>70.758561589657532</v>
      </c>
      <c r="W9" s="39">
        <v>71.740554838111578</v>
      </c>
      <c r="X9" s="39">
        <v>73.077506995186013</v>
      </c>
      <c r="Y9" s="39">
        <v>71.752301052363279</v>
      </c>
      <c r="Z9" s="39">
        <v>72.052381676820261</v>
      </c>
      <c r="AA9" s="39">
        <v>71.022535046831294</v>
      </c>
    </row>
    <row r="10" spans="7:27" x14ac:dyDescent="0.3">
      <c r="G10" s="12" t="s">
        <v>13</v>
      </c>
      <c r="H10" s="49">
        <v>60.432031342337616</v>
      </c>
      <c r="I10" s="49">
        <v>60.831708673106355</v>
      </c>
      <c r="J10" s="49">
        <v>61.334422998033681</v>
      </c>
      <c r="K10" s="49">
        <v>61.135956954696944</v>
      </c>
      <c r="L10" s="49">
        <v>59.479217720159809</v>
      </c>
      <c r="M10" s="49">
        <v>58.332332448618352</v>
      </c>
      <c r="N10" s="49">
        <v>57.732080691579846</v>
      </c>
      <c r="S10" s="41"/>
      <c r="T10" s="40" t="s">
        <v>11</v>
      </c>
      <c r="U10" s="43">
        <v>60.904469220509306</v>
      </c>
      <c r="V10" s="7">
        <v>61.138577822713827</v>
      </c>
      <c r="W10" s="7">
        <v>61.768860467695227</v>
      </c>
      <c r="X10" s="7">
        <v>62.469976211485836</v>
      </c>
      <c r="Y10" s="7">
        <v>62.600736382474096</v>
      </c>
      <c r="Z10" s="7">
        <v>62.643205791664414</v>
      </c>
      <c r="AA10" s="7">
        <v>62.65784079857147</v>
      </c>
    </row>
    <row r="11" spans="7:27" x14ac:dyDescent="0.3">
      <c r="H11" s="56"/>
      <c r="I11" s="56"/>
      <c r="J11" s="56"/>
      <c r="K11" s="56"/>
      <c r="L11" s="56"/>
      <c r="M11" s="56"/>
      <c r="N11" s="56"/>
    </row>
    <row r="12" spans="7:27" x14ac:dyDescent="0.3">
      <c r="H12" s="56"/>
      <c r="I12" s="56"/>
      <c r="J12" s="56"/>
      <c r="K12" s="56"/>
      <c r="L12" s="56"/>
      <c r="M12" s="56"/>
      <c r="N12" s="56"/>
    </row>
    <row r="13" spans="7:27" x14ac:dyDescent="0.3">
      <c r="G13" s="11"/>
      <c r="H13" s="52" t="s">
        <v>22</v>
      </c>
      <c r="I13" s="53"/>
      <c r="J13" s="53"/>
      <c r="K13" s="53"/>
      <c r="L13" s="53"/>
      <c r="M13" s="53"/>
      <c r="N13" s="54"/>
    </row>
    <row r="14" spans="7:27" x14ac:dyDescent="0.3">
      <c r="G14" s="11"/>
      <c r="H14" s="47" t="s">
        <v>18</v>
      </c>
      <c r="I14" s="47" t="s">
        <v>2</v>
      </c>
      <c r="J14" s="47" t="s">
        <v>3</v>
      </c>
      <c r="K14" s="47" t="s">
        <v>4</v>
      </c>
      <c r="L14" s="47" t="s">
        <v>5</v>
      </c>
      <c r="M14" s="47" t="s">
        <v>6</v>
      </c>
      <c r="N14" s="47" t="s">
        <v>19</v>
      </c>
    </row>
    <row r="15" spans="7:27" x14ac:dyDescent="0.3">
      <c r="G15" s="12" t="s">
        <v>17</v>
      </c>
      <c r="H15" s="48">
        <v>535</v>
      </c>
      <c r="I15" s="48">
        <v>506</v>
      </c>
      <c r="J15" s="48">
        <v>553</v>
      </c>
      <c r="K15" s="48">
        <v>804</v>
      </c>
      <c r="L15" s="48">
        <v>1271</v>
      </c>
      <c r="M15" s="48">
        <v>1959</v>
      </c>
      <c r="N15" s="48">
        <v>2099</v>
      </c>
    </row>
    <row r="16" spans="7:27" x14ac:dyDescent="0.3">
      <c r="G16" s="12" t="s">
        <v>14</v>
      </c>
      <c r="H16" s="56">
        <v>33.4375</v>
      </c>
      <c r="I16" s="48">
        <v>31.5625</v>
      </c>
      <c r="J16" s="48">
        <v>34.375</v>
      </c>
      <c r="K16" s="48">
        <v>50.1875</v>
      </c>
      <c r="L16" s="48">
        <v>79.3125</v>
      </c>
      <c r="M16" s="48">
        <v>122.3125</v>
      </c>
      <c r="N16" s="48">
        <v>131.1875</v>
      </c>
    </row>
    <row r="17" spans="7:14" x14ac:dyDescent="0.3">
      <c r="G17" s="12" t="s">
        <v>15</v>
      </c>
      <c r="H17" s="50">
        <v>9951481</v>
      </c>
      <c r="I17" s="50">
        <v>11446640</v>
      </c>
      <c r="J17" s="50">
        <v>13391085</v>
      </c>
      <c r="K17" s="50">
        <v>15675396</v>
      </c>
      <c r="L17" s="13">
        <v>18566184</v>
      </c>
      <c r="M17" s="13">
        <v>22017283</v>
      </c>
      <c r="N17" s="50">
        <v>20525875</v>
      </c>
    </row>
    <row r="18" spans="7:14" x14ac:dyDescent="0.3">
      <c r="G18" s="12" t="s">
        <v>16</v>
      </c>
      <c r="H18" s="51">
        <v>7.160078696556134</v>
      </c>
      <c r="I18" s="48">
        <v>5.6478077568061922</v>
      </c>
      <c r="J18" s="48">
        <v>5.0363494699112987</v>
      </c>
      <c r="K18" s="48">
        <v>5.9718918376115475</v>
      </c>
      <c r="L18" s="48">
        <v>7.381375844695631</v>
      </c>
      <c r="M18" s="55">
        <v>9.012284134710832</v>
      </c>
      <c r="N18" s="48">
        <v>9.8254360245356995</v>
      </c>
    </row>
    <row r="19" spans="7:14" x14ac:dyDescent="0.3">
      <c r="G19" s="12" t="s">
        <v>12</v>
      </c>
      <c r="H19" s="48">
        <v>60</v>
      </c>
      <c r="I19" s="48">
        <v>60</v>
      </c>
      <c r="J19" s="48">
        <v>61</v>
      </c>
      <c r="K19" s="48">
        <v>63</v>
      </c>
      <c r="L19" s="48">
        <v>63</v>
      </c>
      <c r="M19" s="48">
        <v>64</v>
      </c>
      <c r="N19" s="48">
        <v>64</v>
      </c>
    </row>
    <row r="20" spans="7:14" x14ac:dyDescent="0.3">
      <c r="G20" s="12" t="s">
        <v>13</v>
      </c>
      <c r="H20" s="49">
        <v>62.238568295546919</v>
      </c>
      <c r="I20" s="49">
        <v>63.07096615096598</v>
      </c>
      <c r="J20" s="49">
        <v>63.979261171043419</v>
      </c>
      <c r="K20" s="49">
        <v>65.336917267971685</v>
      </c>
      <c r="L20" s="49">
        <v>65.521266993572468</v>
      </c>
      <c r="M20" s="49">
        <v>65.252687436860029</v>
      </c>
      <c r="N20" s="49">
        <v>65.33717887269998</v>
      </c>
    </row>
    <row r="23" spans="7:14" x14ac:dyDescent="0.3">
      <c r="G23" s="11"/>
      <c r="H23" s="52" t="s">
        <v>10</v>
      </c>
      <c r="I23" s="53"/>
      <c r="J23" s="53"/>
      <c r="K23" s="53"/>
      <c r="L23" s="53"/>
      <c r="M23" s="53"/>
      <c r="N23" s="54"/>
    </row>
    <row r="24" spans="7:14" x14ac:dyDescent="0.3">
      <c r="G24" s="11"/>
      <c r="H24" s="47" t="s">
        <v>18</v>
      </c>
      <c r="I24" s="47" t="s">
        <v>2</v>
      </c>
      <c r="J24" s="47" t="s">
        <v>3</v>
      </c>
      <c r="K24" s="47" t="s">
        <v>4</v>
      </c>
      <c r="L24" s="47" t="s">
        <v>5</v>
      </c>
      <c r="M24" s="47" t="s">
        <v>6</v>
      </c>
      <c r="N24" s="47" t="s">
        <v>19</v>
      </c>
    </row>
    <row r="25" spans="7:14" x14ac:dyDescent="0.3">
      <c r="G25" s="12" t="s">
        <v>17</v>
      </c>
      <c r="H25" s="62">
        <v>249</v>
      </c>
      <c r="I25" s="62">
        <v>274</v>
      </c>
      <c r="J25" s="62">
        <v>344</v>
      </c>
      <c r="K25" s="62">
        <v>591</v>
      </c>
      <c r="L25" s="62">
        <v>974</v>
      </c>
      <c r="M25" s="62">
        <v>1337</v>
      </c>
      <c r="N25" s="62">
        <v>1494</v>
      </c>
    </row>
    <row r="26" spans="7:14" x14ac:dyDescent="0.3">
      <c r="G26" s="12" t="s">
        <v>14</v>
      </c>
      <c r="H26" s="62">
        <v>15.5</v>
      </c>
      <c r="I26" s="62">
        <v>16.9375</v>
      </c>
      <c r="J26" s="62">
        <v>21.4375</v>
      </c>
      <c r="K26" s="62">
        <v>36.9375</v>
      </c>
      <c r="L26" s="62">
        <v>60.75</v>
      </c>
      <c r="M26" s="62">
        <v>83.5625</v>
      </c>
      <c r="N26" s="57">
        <v>93.375</v>
      </c>
    </row>
    <row r="27" spans="7:14" x14ac:dyDescent="0.3">
      <c r="G27" s="12" t="s">
        <v>15</v>
      </c>
      <c r="H27" s="50">
        <v>9951481</v>
      </c>
      <c r="I27" s="50">
        <v>11446640</v>
      </c>
      <c r="J27" s="50">
        <v>13391085</v>
      </c>
      <c r="K27" s="50">
        <v>15675396</v>
      </c>
      <c r="L27" s="13">
        <v>18566184</v>
      </c>
      <c r="M27" s="13">
        <v>22017283</v>
      </c>
      <c r="N27" s="50">
        <v>20525875</v>
      </c>
    </row>
    <row r="28" spans="7:14" x14ac:dyDescent="0.3">
      <c r="G28" s="12" t="s">
        <v>16</v>
      </c>
      <c r="H28" s="62">
        <v>3.622876480109984</v>
      </c>
      <c r="I28" s="62">
        <v>3.2458704211957623</v>
      </c>
      <c r="J28" s="62">
        <v>3.3868572476103784</v>
      </c>
      <c r="K28" s="62">
        <v>4.725812861835033</v>
      </c>
      <c r="L28" s="62">
        <v>5.9254032391153242</v>
      </c>
      <c r="M28" s="62">
        <v>6.3629735780437455</v>
      </c>
      <c r="N28" s="62">
        <f>ROUND(7.24154808638107,3)</f>
        <v>7.242</v>
      </c>
    </row>
    <row r="29" spans="7:14" x14ac:dyDescent="0.3">
      <c r="G29" s="12" t="s">
        <v>12</v>
      </c>
      <c r="H29" s="62">
        <v>70</v>
      </c>
      <c r="I29" s="63">
        <v>70</v>
      </c>
      <c r="J29" s="62">
        <v>70</v>
      </c>
      <c r="K29" s="62">
        <v>73</v>
      </c>
      <c r="L29" s="62">
        <v>71</v>
      </c>
      <c r="M29" s="62">
        <v>71</v>
      </c>
      <c r="N29" s="62">
        <v>71</v>
      </c>
    </row>
    <row r="30" spans="7:14" x14ac:dyDescent="0.3">
      <c r="G30" s="12" t="s">
        <v>13</v>
      </c>
      <c r="H30" s="63">
        <v>70.592023499584243</v>
      </c>
      <c r="I30" s="63">
        <v>70.758561589657532</v>
      </c>
      <c r="J30" s="63">
        <v>71.740554838111578</v>
      </c>
      <c r="K30" s="63">
        <v>73.077506995186013</v>
      </c>
      <c r="L30" s="63">
        <v>71.752301052363279</v>
      </c>
      <c r="M30" s="63">
        <v>72.052381676820261</v>
      </c>
      <c r="N30" s="63">
        <v>71.022535046831294</v>
      </c>
    </row>
  </sheetData>
  <mergeCells count="8">
    <mergeCell ref="G13:G14"/>
    <mergeCell ref="H13:N13"/>
    <mergeCell ref="G23:G24"/>
    <mergeCell ref="H23:N23"/>
    <mergeCell ref="S6:S10"/>
    <mergeCell ref="H3:N3"/>
    <mergeCell ref="G3:G4"/>
    <mergeCell ref="T5:A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4E7B-0A0C-4859-88AA-C70AE2AD6B64}">
  <dimension ref="F2:AA29"/>
  <sheetViews>
    <sheetView workbookViewId="0">
      <selection activeCell="R4" sqref="R4"/>
    </sheetView>
  </sheetViews>
  <sheetFormatPr defaultRowHeight="14.4" x14ac:dyDescent="0.3"/>
  <cols>
    <col min="6" max="6" width="17.77734375" bestFit="1" customWidth="1"/>
    <col min="7" max="13" width="9.6640625" bestFit="1" customWidth="1"/>
  </cols>
  <sheetData>
    <row r="2" spans="6:27" x14ac:dyDescent="0.3">
      <c r="F2" s="11"/>
      <c r="G2" s="44" t="s">
        <v>8</v>
      </c>
      <c r="H2" s="45"/>
      <c r="I2" s="45"/>
      <c r="J2" s="45"/>
      <c r="K2" s="45"/>
      <c r="L2" s="45"/>
      <c r="M2" s="46"/>
    </row>
    <row r="3" spans="6:27" x14ac:dyDescent="0.3">
      <c r="F3" s="11"/>
      <c r="G3" s="59" t="s">
        <v>18</v>
      </c>
      <c r="H3" s="60" t="s">
        <v>2</v>
      </c>
      <c r="I3" s="60" t="s">
        <v>3</v>
      </c>
      <c r="J3" s="60" t="s">
        <v>4</v>
      </c>
      <c r="K3" s="60" t="s">
        <v>5</v>
      </c>
      <c r="L3" s="60" t="s">
        <v>6</v>
      </c>
      <c r="M3" s="60" t="s">
        <v>19</v>
      </c>
    </row>
    <row r="4" spans="6:27" x14ac:dyDescent="0.3">
      <c r="F4" s="12" t="s">
        <v>17</v>
      </c>
      <c r="G4" s="62">
        <v>64</v>
      </c>
      <c r="H4" s="62">
        <v>839</v>
      </c>
      <c r="I4" s="85">
        <v>933</v>
      </c>
      <c r="J4" s="62">
        <v>1112</v>
      </c>
      <c r="K4" s="85">
        <v>1426</v>
      </c>
      <c r="L4" s="62">
        <v>1972</v>
      </c>
      <c r="M4" s="62">
        <v>2001</v>
      </c>
    </row>
    <row r="5" spans="6:27" x14ac:dyDescent="0.3">
      <c r="F5" s="12" t="s">
        <v>14</v>
      </c>
      <c r="G5" s="62">
        <v>50.4375</v>
      </c>
      <c r="H5" s="62">
        <v>52.4375</v>
      </c>
      <c r="I5" s="62">
        <v>58.3125</v>
      </c>
      <c r="J5" s="62">
        <v>69.5</v>
      </c>
      <c r="K5" s="62">
        <v>89.125</v>
      </c>
      <c r="L5" s="62">
        <v>123.25</v>
      </c>
      <c r="M5" s="62">
        <v>125.0625</v>
      </c>
    </row>
    <row r="6" spans="6:27" x14ac:dyDescent="0.3">
      <c r="F6" s="12" t="s">
        <v>15</v>
      </c>
      <c r="G6" s="50">
        <v>9370944</v>
      </c>
      <c r="H6" s="50">
        <v>10074451</v>
      </c>
      <c r="I6" s="70">
        <v>10656255</v>
      </c>
      <c r="J6" s="70">
        <v>11164995</v>
      </c>
      <c r="K6" s="13">
        <v>11462838</v>
      </c>
      <c r="L6" s="13">
        <v>11759331</v>
      </c>
      <c r="M6" s="9">
        <v>9626085</v>
      </c>
    </row>
    <row r="7" spans="6:27" x14ac:dyDescent="0.3">
      <c r="F7" s="12" t="s">
        <v>16</v>
      </c>
      <c r="G7" s="14">
        <v>9.5398642077063709</v>
      </c>
      <c r="H7" s="62">
        <v>8.7552555395601193</v>
      </c>
      <c r="I7" s="62">
        <v>8.5738443313349197</v>
      </c>
      <c r="J7" s="62">
        <v>8.8962704317208665</v>
      </c>
      <c r="K7" s="62">
        <v>10.273665805209543</v>
      </c>
      <c r="L7" s="51">
        <v>12.861090032935731</v>
      </c>
      <c r="M7" s="62">
        <v>15.059218566781132</v>
      </c>
    </row>
    <row r="8" spans="6:27" x14ac:dyDescent="0.3">
      <c r="F8" s="12" t="s">
        <v>12</v>
      </c>
      <c r="G8" s="71">
        <v>55</v>
      </c>
      <c r="H8" s="72">
        <v>57</v>
      </c>
      <c r="I8" s="73">
        <v>58</v>
      </c>
      <c r="J8" s="74">
        <v>55</v>
      </c>
      <c r="K8" s="75">
        <v>55</v>
      </c>
      <c r="L8" s="76">
        <v>52</v>
      </c>
      <c r="M8" s="77">
        <v>52</v>
      </c>
      <c r="S8" s="66" t="s">
        <v>21</v>
      </c>
      <c r="T8" s="44" t="s">
        <v>23</v>
      </c>
      <c r="U8" s="45"/>
      <c r="V8" s="45"/>
      <c r="W8" s="45"/>
      <c r="X8" s="45"/>
      <c r="Y8" s="45"/>
      <c r="Z8" s="45"/>
      <c r="AA8" s="46"/>
    </row>
    <row r="9" spans="6:27" x14ac:dyDescent="0.3">
      <c r="F9" s="12" t="s">
        <v>13</v>
      </c>
      <c r="G9" s="63">
        <v>59</v>
      </c>
      <c r="H9" s="63">
        <v>60</v>
      </c>
      <c r="I9" s="63">
        <v>60</v>
      </c>
      <c r="J9" s="63">
        <v>58</v>
      </c>
      <c r="K9" s="63">
        <v>57</v>
      </c>
      <c r="L9" s="63">
        <v>53</v>
      </c>
      <c r="M9" s="63">
        <v>52</v>
      </c>
      <c r="S9" s="66"/>
      <c r="T9" s="59" t="s">
        <v>1</v>
      </c>
      <c r="U9" s="59" t="s">
        <v>18</v>
      </c>
      <c r="V9" s="60" t="s">
        <v>2</v>
      </c>
      <c r="W9" s="60" t="s">
        <v>3</v>
      </c>
      <c r="X9" s="60" t="s">
        <v>4</v>
      </c>
      <c r="Y9" s="60" t="s">
        <v>5</v>
      </c>
      <c r="Z9" s="60" t="s">
        <v>6</v>
      </c>
      <c r="AA9" s="60" t="s">
        <v>19</v>
      </c>
    </row>
    <row r="10" spans="6:27" x14ac:dyDescent="0.3">
      <c r="S10" s="66"/>
      <c r="T10" s="67" t="s">
        <v>8</v>
      </c>
      <c r="U10" s="68">
        <v>59</v>
      </c>
      <c r="V10" s="69">
        <v>60</v>
      </c>
      <c r="W10" s="68">
        <v>60</v>
      </c>
      <c r="X10" s="68">
        <v>58</v>
      </c>
      <c r="Y10" s="68">
        <v>57</v>
      </c>
      <c r="Z10" s="68">
        <v>53</v>
      </c>
      <c r="AA10" s="68">
        <v>52</v>
      </c>
    </row>
    <row r="11" spans="6:27" x14ac:dyDescent="0.3">
      <c r="S11" s="66"/>
      <c r="T11" s="61" t="s">
        <v>9</v>
      </c>
      <c r="U11" s="62">
        <v>59</v>
      </c>
      <c r="V11" s="62">
        <v>60</v>
      </c>
      <c r="W11" s="62">
        <v>60</v>
      </c>
      <c r="X11" s="62">
        <v>62</v>
      </c>
      <c r="Y11" s="62">
        <v>62</v>
      </c>
      <c r="Z11" s="62">
        <v>64</v>
      </c>
      <c r="AA11" s="62">
        <v>65</v>
      </c>
    </row>
    <row r="12" spans="6:27" x14ac:dyDescent="0.3">
      <c r="F12" s="11"/>
      <c r="G12" s="52" t="s">
        <v>22</v>
      </c>
      <c r="H12" s="53"/>
      <c r="I12" s="53"/>
      <c r="J12" s="53"/>
      <c r="K12" s="53"/>
      <c r="L12" s="53"/>
      <c r="M12" s="54"/>
      <c r="S12" s="66"/>
      <c r="T12" s="61" t="s">
        <v>10</v>
      </c>
      <c r="U12" s="62">
        <v>70</v>
      </c>
      <c r="V12" s="62">
        <v>71</v>
      </c>
      <c r="W12" s="62">
        <v>72</v>
      </c>
      <c r="X12" s="62">
        <v>71</v>
      </c>
      <c r="Y12" s="62">
        <v>72</v>
      </c>
      <c r="Z12" s="62">
        <v>73</v>
      </c>
      <c r="AA12" s="62">
        <v>73</v>
      </c>
    </row>
    <row r="13" spans="6:27" x14ac:dyDescent="0.3">
      <c r="F13" s="11"/>
      <c r="G13" s="60" t="s">
        <v>18</v>
      </c>
      <c r="H13" s="60" t="s">
        <v>2</v>
      </c>
      <c r="I13" s="60" t="s">
        <v>3</v>
      </c>
      <c r="J13" s="60" t="s">
        <v>4</v>
      </c>
      <c r="K13" s="60" t="s">
        <v>5</v>
      </c>
      <c r="L13" s="60" t="s">
        <v>6</v>
      </c>
      <c r="M13" s="60" t="s">
        <v>19</v>
      </c>
      <c r="S13" s="66"/>
      <c r="T13" s="64" t="s">
        <v>11</v>
      </c>
      <c r="U13" s="65">
        <v>58</v>
      </c>
      <c r="V13" s="65">
        <v>59</v>
      </c>
      <c r="W13" s="65">
        <v>60</v>
      </c>
      <c r="X13" s="65">
        <v>59</v>
      </c>
      <c r="Y13" s="65">
        <v>60</v>
      </c>
      <c r="Z13" s="65">
        <v>61</v>
      </c>
      <c r="AA13" s="65">
        <v>62</v>
      </c>
    </row>
    <row r="14" spans="6:27" x14ac:dyDescent="0.3">
      <c r="F14" s="12" t="s">
        <v>17</v>
      </c>
      <c r="G14" s="62">
        <v>583</v>
      </c>
      <c r="H14" s="85">
        <v>875</v>
      </c>
      <c r="I14" s="62">
        <v>868</v>
      </c>
      <c r="J14" s="62">
        <v>1031</v>
      </c>
      <c r="K14" s="62">
        <v>1340</v>
      </c>
      <c r="L14" s="62">
        <v>1369</v>
      </c>
      <c r="M14" s="33">
        <v>1205</v>
      </c>
    </row>
    <row r="15" spans="6:27" x14ac:dyDescent="0.3">
      <c r="F15" s="12" t="s">
        <v>14</v>
      </c>
      <c r="G15" s="56">
        <v>36.4375</v>
      </c>
      <c r="H15" s="62">
        <v>54.6875</v>
      </c>
      <c r="I15" s="62">
        <v>54.25</v>
      </c>
      <c r="J15" s="62">
        <v>64.4375</v>
      </c>
      <c r="K15" s="62">
        <v>83.75</v>
      </c>
      <c r="L15" s="62">
        <v>85.5625</v>
      </c>
      <c r="M15" s="62">
        <v>75.25</v>
      </c>
    </row>
    <row r="16" spans="6:27" x14ac:dyDescent="0.3">
      <c r="F16" s="12" t="s">
        <v>15</v>
      </c>
      <c r="G16" s="50">
        <v>9370944</v>
      </c>
      <c r="H16" s="50">
        <v>10074451</v>
      </c>
      <c r="I16" s="70">
        <v>10656255</v>
      </c>
      <c r="J16" s="70">
        <v>11164995</v>
      </c>
      <c r="K16" s="13">
        <v>11462838</v>
      </c>
      <c r="L16" s="13">
        <v>11759331</v>
      </c>
      <c r="M16" s="9">
        <v>9626085</v>
      </c>
    </row>
    <row r="17" spans="6:13" x14ac:dyDescent="0.3">
      <c r="F17" s="12" t="s">
        <v>16</v>
      </c>
      <c r="G17" s="51">
        <v>6.8793990392689022</v>
      </c>
      <c r="H17" s="62">
        <v>9.1099279304148197</v>
      </c>
      <c r="I17" s="62">
        <v>8.0002321346086234</v>
      </c>
      <c r="J17" s="62">
        <v>8.4423678445279275</v>
      </c>
      <c r="K17" s="62">
        <v>9.8244776053369094</v>
      </c>
      <c r="L17" s="55">
        <v>9.09705132487389</v>
      </c>
      <c r="M17" s="62">
        <v>9.1867147027131608</v>
      </c>
    </row>
    <row r="18" spans="6:13" x14ac:dyDescent="0.3">
      <c r="F18" s="12" t="s">
        <v>12</v>
      </c>
      <c r="G18" s="78">
        <v>56</v>
      </c>
      <c r="H18" s="79">
        <v>58</v>
      </c>
      <c r="I18" s="80">
        <v>58</v>
      </c>
      <c r="J18" s="81">
        <v>60</v>
      </c>
      <c r="K18" s="82">
        <v>60</v>
      </c>
      <c r="L18" s="83">
        <v>62</v>
      </c>
      <c r="M18" s="85">
        <v>64</v>
      </c>
    </row>
    <row r="19" spans="6:13" x14ac:dyDescent="0.3">
      <c r="F19" s="12" t="s">
        <v>13</v>
      </c>
      <c r="G19" s="62">
        <v>59</v>
      </c>
      <c r="H19" s="62">
        <v>60</v>
      </c>
      <c r="I19" s="62">
        <v>60</v>
      </c>
      <c r="J19" s="62">
        <v>62</v>
      </c>
      <c r="K19" s="62">
        <v>62</v>
      </c>
      <c r="L19" s="62">
        <v>64</v>
      </c>
      <c r="M19" s="62">
        <v>65</v>
      </c>
    </row>
    <row r="20" spans="6:13" x14ac:dyDescent="0.3">
      <c r="F20" s="58"/>
      <c r="G20" s="58"/>
      <c r="H20" s="58"/>
      <c r="I20" s="58"/>
      <c r="J20" s="58"/>
      <c r="K20" s="58"/>
      <c r="L20" s="58"/>
      <c r="M20" s="58"/>
    </row>
    <row r="21" spans="6:13" x14ac:dyDescent="0.3">
      <c r="F21" s="58"/>
      <c r="G21" s="58"/>
      <c r="H21" s="58"/>
      <c r="I21" s="58"/>
      <c r="J21" s="58"/>
      <c r="K21" s="58"/>
      <c r="L21" s="58"/>
      <c r="M21" s="58"/>
    </row>
    <row r="22" spans="6:13" x14ac:dyDescent="0.3">
      <c r="F22" s="11"/>
      <c r="G22" s="52" t="s">
        <v>10</v>
      </c>
      <c r="H22" s="53"/>
      <c r="I22" s="53"/>
      <c r="J22" s="53"/>
      <c r="K22" s="53"/>
      <c r="L22" s="53"/>
      <c r="M22" s="54"/>
    </row>
    <row r="23" spans="6:13" x14ac:dyDescent="0.3">
      <c r="F23" s="11"/>
      <c r="G23" s="60" t="s">
        <v>18</v>
      </c>
      <c r="H23" s="60" t="s">
        <v>2</v>
      </c>
      <c r="I23" s="60" t="s">
        <v>3</v>
      </c>
      <c r="J23" s="60" t="s">
        <v>4</v>
      </c>
      <c r="K23" s="60" t="s">
        <v>5</v>
      </c>
      <c r="L23" s="60" t="s">
        <v>6</v>
      </c>
      <c r="M23" s="60" t="s">
        <v>19</v>
      </c>
    </row>
    <row r="24" spans="6:13" x14ac:dyDescent="0.3">
      <c r="F24" s="12" t="s">
        <v>17</v>
      </c>
      <c r="G24" s="86">
        <v>132</v>
      </c>
      <c r="H24" s="62">
        <v>208</v>
      </c>
      <c r="I24" s="62">
        <v>355</v>
      </c>
      <c r="J24" s="62">
        <v>388</v>
      </c>
      <c r="K24" s="62">
        <v>533</v>
      </c>
      <c r="L24" s="62">
        <v>714</v>
      </c>
      <c r="M24" s="62">
        <v>909</v>
      </c>
    </row>
    <row r="25" spans="6:13" x14ac:dyDescent="0.3">
      <c r="F25" s="12" t="s">
        <v>14</v>
      </c>
      <c r="G25" s="62">
        <v>8.25</v>
      </c>
      <c r="H25" s="62">
        <v>13</v>
      </c>
      <c r="I25" s="62">
        <v>22.1875</v>
      </c>
      <c r="J25" s="62">
        <v>24.25</v>
      </c>
      <c r="K25" s="62">
        <v>33.3125</v>
      </c>
      <c r="L25" s="62">
        <v>44.625</v>
      </c>
      <c r="M25" s="57">
        <v>56.8125</v>
      </c>
    </row>
    <row r="26" spans="6:13" x14ac:dyDescent="0.3">
      <c r="F26" s="12" t="s">
        <v>15</v>
      </c>
      <c r="G26" s="50">
        <v>9370944</v>
      </c>
      <c r="H26" s="50">
        <v>10074451</v>
      </c>
      <c r="I26" s="70">
        <v>10656255</v>
      </c>
      <c r="J26" s="70">
        <v>11164995</v>
      </c>
      <c r="K26" s="13">
        <v>11462838</v>
      </c>
      <c r="L26" s="13">
        <v>11759331</v>
      </c>
      <c r="M26" s="9">
        <v>9626085</v>
      </c>
    </row>
    <row r="27" spans="6:13" x14ac:dyDescent="0.3">
      <c r="F27" s="12" t="s">
        <v>16</v>
      </c>
      <c r="G27" s="84">
        <v>1.7942300908470672</v>
      </c>
      <c r="H27" s="62">
        <v>2.4265875006547866</v>
      </c>
      <c r="I27" s="62">
        <v>3.465095738557455</v>
      </c>
      <c r="J27" s="62">
        <v>3.2486531019821179</v>
      </c>
      <c r="K27" s="62">
        <v>3.9740955704239127</v>
      </c>
      <c r="L27" s="62">
        <v>4.8066643408580747</v>
      </c>
      <c r="M27" s="62">
        <v>6.9955573645140605</v>
      </c>
    </row>
    <row r="28" spans="6:13" x14ac:dyDescent="0.3">
      <c r="F28" s="12" t="s">
        <v>12</v>
      </c>
      <c r="G28" s="87">
        <v>67</v>
      </c>
      <c r="H28" s="88">
        <v>70</v>
      </c>
      <c r="I28" s="89">
        <v>71</v>
      </c>
      <c r="J28" s="90">
        <v>71</v>
      </c>
      <c r="K28" s="91">
        <v>71</v>
      </c>
      <c r="L28" s="92">
        <v>73</v>
      </c>
      <c r="M28" s="94">
        <v>73</v>
      </c>
    </row>
    <row r="29" spans="6:13" x14ac:dyDescent="0.3">
      <c r="F29" s="12" t="s">
        <v>13</v>
      </c>
      <c r="G29" s="62">
        <v>70</v>
      </c>
      <c r="H29" s="62">
        <v>71</v>
      </c>
      <c r="I29" s="62">
        <v>72</v>
      </c>
      <c r="J29" s="62">
        <v>71</v>
      </c>
      <c r="K29" s="62">
        <v>72</v>
      </c>
      <c r="L29" s="62">
        <v>73</v>
      </c>
      <c r="M29" s="62">
        <v>73</v>
      </c>
    </row>
  </sheetData>
  <mergeCells count="8">
    <mergeCell ref="F22:F23"/>
    <mergeCell ref="G22:M22"/>
    <mergeCell ref="S8:S13"/>
    <mergeCell ref="T8:AA8"/>
    <mergeCell ref="F2:F3"/>
    <mergeCell ref="G2:M2"/>
    <mergeCell ref="F12:F13"/>
    <mergeCell ref="G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Delhi</vt:lpstr>
      <vt:lpstr>Bangalore</vt:lpstr>
      <vt:lpstr>Chennai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 !</dc:creator>
  <cp:lastModifiedBy>Goku !</cp:lastModifiedBy>
  <dcterms:created xsi:type="dcterms:W3CDTF">2025-12-30T09:57:32Z</dcterms:created>
  <dcterms:modified xsi:type="dcterms:W3CDTF">2025-12-31T09:44:16Z</dcterms:modified>
</cp:coreProperties>
</file>