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go\Downloads\INTERN-FILE\Comparision File\"/>
    </mc:Choice>
  </mc:AlternateContent>
  <xr:revisionPtr revIDLastSave="0" documentId="13_ncr:1_{B4745F09-F502-4FCB-9BE9-8527E61D23A2}" xr6:coauthVersionLast="47" xr6:coauthVersionMax="47" xr10:uidLastSave="{00000000-0000-0000-0000-000000000000}"/>
  <bookViews>
    <workbookView xWindow="-108" yWindow="-108" windowWidth="23256" windowHeight="12456" firstSheet="3" activeTab="8" xr2:uid="{D7B3E37C-C14D-4A82-80CC-51287B37BAC3}"/>
  </bookViews>
  <sheets>
    <sheet name="Delhi" sheetId="1" state="hidden" r:id="rId1"/>
    <sheet name="Bangalore" sheetId="2" state="hidden" r:id="rId2"/>
    <sheet name="Chennai" sheetId="3" state="hidden" r:id="rId3"/>
    <sheet name="Oral" sheetId="5" r:id="rId4"/>
    <sheet name="Lungs" sheetId="6" r:id="rId5"/>
    <sheet name="Prostate" sheetId="7" r:id="rId6"/>
    <sheet name="All sites" sheetId="8" r:id="rId7"/>
    <sheet name="Corr_summary" sheetId="9" r:id="rId8"/>
    <sheet name="Sheet1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6" i="10" l="1"/>
  <c r="M76" i="10"/>
  <c r="L76" i="10"/>
  <c r="K76" i="10"/>
  <c r="J76" i="10"/>
  <c r="I76" i="10"/>
  <c r="N64" i="10"/>
  <c r="M64" i="10"/>
  <c r="L64" i="10"/>
  <c r="K64" i="10"/>
  <c r="J64" i="10"/>
  <c r="I64" i="10"/>
  <c r="O52" i="10"/>
  <c r="N52" i="10"/>
  <c r="M52" i="10"/>
  <c r="L52" i="10"/>
  <c r="K52" i="10"/>
  <c r="J52" i="10"/>
  <c r="I52" i="10"/>
  <c r="O41" i="10"/>
  <c r="N41" i="10"/>
  <c r="M41" i="10"/>
  <c r="L41" i="10"/>
  <c r="K41" i="10"/>
  <c r="J41" i="10"/>
  <c r="I41" i="10"/>
  <c r="O29" i="10" l="1"/>
  <c r="N29" i="10"/>
  <c r="M29" i="10"/>
  <c r="L29" i="10"/>
  <c r="K29" i="10"/>
  <c r="J29" i="10"/>
  <c r="I29" i="10"/>
  <c r="Y11" i="10"/>
  <c r="X11" i="10"/>
  <c r="W11" i="10"/>
  <c r="V11" i="10"/>
  <c r="U11" i="10"/>
  <c r="T11" i="10"/>
  <c r="L9" i="10"/>
  <c r="K9" i="10"/>
  <c r="J9" i="10"/>
  <c r="I9" i="10"/>
  <c r="H9" i="10"/>
  <c r="G9" i="10"/>
  <c r="F9" i="10"/>
  <c r="N56" i="8" l="1"/>
  <c r="N46" i="8"/>
  <c r="O36" i="8"/>
  <c r="O27" i="8"/>
  <c r="O16" i="8"/>
  <c r="N6" i="8"/>
  <c r="N55" i="7"/>
  <c r="N46" i="7"/>
  <c r="O36" i="7"/>
  <c r="O25" i="7"/>
  <c r="O15" i="7"/>
  <c r="N6" i="7"/>
  <c r="M57" i="6"/>
  <c r="M47" i="6"/>
  <c r="N36" i="6"/>
  <c r="N26" i="6"/>
  <c r="N17" i="6"/>
  <c r="M6" i="6"/>
  <c r="M56" i="5"/>
  <c r="M47" i="5"/>
  <c r="N36" i="5"/>
  <c r="N27" i="5"/>
  <c r="N16" i="5"/>
  <c r="M6" i="5"/>
  <c r="M16" i="7"/>
  <c r="K9" i="5" l="1"/>
  <c r="L29" i="5"/>
  <c r="L39" i="5"/>
  <c r="K49" i="5"/>
  <c r="M29" i="8"/>
  <c r="H29" i="8"/>
  <c r="I29" i="8"/>
  <c r="J29" i="8"/>
  <c r="K29" i="8"/>
  <c r="L29" i="8"/>
  <c r="G29" i="8"/>
  <c r="H59" i="8"/>
  <c r="I59" i="8"/>
  <c r="J59" i="8"/>
  <c r="K59" i="8"/>
  <c r="L59" i="8"/>
  <c r="G59" i="8"/>
  <c r="H49" i="8"/>
  <c r="I49" i="8"/>
  <c r="J49" i="8"/>
  <c r="K49" i="8"/>
  <c r="L49" i="8"/>
  <c r="G49" i="8"/>
  <c r="M39" i="8"/>
  <c r="H39" i="8"/>
  <c r="I39" i="8"/>
  <c r="J39" i="8"/>
  <c r="K39" i="8"/>
  <c r="L39" i="8"/>
  <c r="G39" i="8"/>
  <c r="M19" i="8"/>
  <c r="H19" i="8"/>
  <c r="I19" i="8"/>
  <c r="J19" i="8"/>
  <c r="K19" i="8"/>
  <c r="L19" i="8"/>
  <c r="G19" i="8"/>
  <c r="L9" i="8"/>
  <c r="H9" i="8"/>
  <c r="I9" i="8"/>
  <c r="J9" i="8"/>
  <c r="K9" i="8"/>
  <c r="G9" i="8"/>
  <c r="H58" i="7" l="1"/>
  <c r="I58" i="7"/>
  <c r="J58" i="7"/>
  <c r="K58" i="7"/>
  <c r="L58" i="7"/>
  <c r="G58" i="7"/>
  <c r="G59" i="6"/>
  <c r="H59" i="6"/>
  <c r="I59" i="6"/>
  <c r="J59" i="6"/>
  <c r="K59" i="6"/>
  <c r="F59" i="6"/>
  <c r="G59" i="5" l="1"/>
  <c r="H59" i="5"/>
  <c r="I59" i="5"/>
  <c r="J59" i="5"/>
  <c r="K59" i="5"/>
  <c r="F59" i="5"/>
  <c r="H48" i="7" l="1"/>
  <c r="I48" i="7"/>
  <c r="J48" i="7"/>
  <c r="K48" i="7"/>
  <c r="L48" i="7"/>
  <c r="G48" i="7"/>
  <c r="G49" i="6"/>
  <c r="H49" i="6"/>
  <c r="I49" i="6"/>
  <c r="J49" i="6"/>
  <c r="K49" i="6"/>
  <c r="F49" i="6"/>
  <c r="G49" i="5"/>
  <c r="H49" i="5"/>
  <c r="I49" i="5"/>
  <c r="J49" i="5"/>
  <c r="F49" i="5"/>
  <c r="M38" i="7" l="1"/>
  <c r="H38" i="7"/>
  <c r="I38" i="7"/>
  <c r="J38" i="7"/>
  <c r="K38" i="7"/>
  <c r="L38" i="7"/>
  <c r="G38" i="7"/>
  <c r="L39" i="6"/>
  <c r="G39" i="6"/>
  <c r="H39" i="6"/>
  <c r="I39" i="6"/>
  <c r="J39" i="6"/>
  <c r="K39" i="6"/>
  <c r="F39" i="6"/>
  <c r="G39" i="5"/>
  <c r="H39" i="5"/>
  <c r="I39" i="5"/>
  <c r="J39" i="5"/>
  <c r="K39" i="5"/>
  <c r="F39" i="5"/>
  <c r="F19" i="5" l="1"/>
  <c r="J9" i="5"/>
  <c r="M28" i="7"/>
  <c r="L28" i="7"/>
  <c r="K28" i="7"/>
  <c r="J28" i="7"/>
  <c r="I28" i="7"/>
  <c r="H28" i="7"/>
  <c r="G28" i="7"/>
  <c r="M18" i="7"/>
  <c r="L18" i="7"/>
  <c r="K18" i="7"/>
  <c r="J18" i="7"/>
  <c r="I18" i="7"/>
  <c r="H18" i="7"/>
  <c r="G18" i="7"/>
  <c r="L8" i="7"/>
  <c r="K8" i="7"/>
  <c r="J8" i="7"/>
  <c r="I8" i="7"/>
  <c r="H8" i="7"/>
  <c r="G8" i="7"/>
  <c r="L29" i="6"/>
  <c r="K29" i="6"/>
  <c r="J29" i="6"/>
  <c r="I29" i="6"/>
  <c r="H29" i="6"/>
  <c r="G29" i="6"/>
  <c r="F29" i="6"/>
  <c r="L19" i="6"/>
  <c r="K19" i="6"/>
  <c r="J19" i="6"/>
  <c r="I19" i="6"/>
  <c r="H19" i="6"/>
  <c r="G19" i="6"/>
  <c r="F19" i="6"/>
  <c r="K9" i="6"/>
  <c r="J9" i="6"/>
  <c r="I9" i="6"/>
  <c r="H9" i="6"/>
  <c r="G9" i="6"/>
  <c r="F9" i="6"/>
  <c r="K29" i="5"/>
  <c r="J29" i="5"/>
  <c r="I29" i="5"/>
  <c r="H29" i="5"/>
  <c r="G29" i="5"/>
  <c r="F29" i="5"/>
  <c r="L19" i="5"/>
  <c r="K19" i="5"/>
  <c r="J19" i="5"/>
  <c r="I19" i="5"/>
  <c r="H19" i="5"/>
  <c r="G19" i="5"/>
  <c r="I9" i="5"/>
  <c r="H9" i="5"/>
  <c r="G9" i="5"/>
  <c r="F9" i="5"/>
  <c r="H25" i="3"/>
  <c r="I25" i="3"/>
  <c r="J25" i="3"/>
  <c r="K25" i="3"/>
  <c r="L25" i="3"/>
  <c r="M25" i="3"/>
  <c r="G25" i="3"/>
  <c r="M15" i="3"/>
  <c r="H15" i="3"/>
  <c r="I15" i="3"/>
  <c r="J15" i="3"/>
  <c r="K15" i="3"/>
  <c r="L15" i="3"/>
  <c r="G15" i="3"/>
  <c r="M5" i="3"/>
  <c r="H5" i="3"/>
  <c r="I5" i="3"/>
  <c r="J5" i="3"/>
  <c r="K5" i="3"/>
  <c r="L5" i="3"/>
  <c r="G5" i="3"/>
  <c r="N26" i="2"/>
  <c r="I26" i="2"/>
  <c r="J26" i="2"/>
  <c r="K26" i="2"/>
  <c r="L26" i="2"/>
  <c r="M26" i="2"/>
  <c r="H26" i="2"/>
  <c r="N16" i="2"/>
  <c r="I16" i="2"/>
  <c r="J16" i="2"/>
  <c r="K16" i="2"/>
  <c r="L16" i="2"/>
  <c r="M16" i="2"/>
  <c r="H16" i="2"/>
  <c r="N6" i="2"/>
  <c r="H6" i="2"/>
  <c r="I6" i="2"/>
  <c r="J6" i="2"/>
  <c r="K6" i="2"/>
  <c r="L6" i="2"/>
  <c r="M6" i="2"/>
  <c r="M10" i="1"/>
  <c r="H10" i="1"/>
  <c r="M28" i="1"/>
  <c r="L28" i="1"/>
  <c r="K28" i="1"/>
  <c r="J28" i="1"/>
  <c r="I28" i="1"/>
  <c r="H28" i="1"/>
  <c r="M17" i="1"/>
  <c r="L17" i="1"/>
  <c r="K17" i="1"/>
  <c r="J17" i="1"/>
  <c r="I17" i="1"/>
  <c r="H17" i="1"/>
  <c r="I10" i="1"/>
  <c r="J10" i="1"/>
  <c r="K10" i="1"/>
  <c r="L10" i="1"/>
  <c r="N28" i="2" l="1"/>
</calcChain>
</file>

<file path=xl/sharedStrings.xml><?xml version="1.0" encoding="utf-8"?>
<sst xmlns="http://schemas.openxmlformats.org/spreadsheetml/2006/main" count="921" uniqueCount="43">
  <si>
    <t>1990-1994</t>
  </si>
  <si>
    <t>1995-1999</t>
  </si>
  <si>
    <t>2000-2004</t>
  </si>
  <si>
    <t>2005-2009</t>
  </si>
  <si>
    <t>2010-2014</t>
  </si>
  <si>
    <t>2015-2017</t>
  </si>
  <si>
    <t>Oral</t>
  </si>
  <si>
    <t>Lung</t>
  </si>
  <si>
    <t>Prostate</t>
  </si>
  <si>
    <t>Crude Median Age</t>
  </si>
  <si>
    <t>Adjusted Median Age</t>
  </si>
  <si>
    <t>Average Cases</t>
  </si>
  <si>
    <t>Population</t>
  </si>
  <si>
    <t>AAIR</t>
  </si>
  <si>
    <t xml:space="preserve"> Total no. of . Cases</t>
  </si>
  <si>
    <t>1985-1989</t>
  </si>
  <si>
    <t>2015-2018</t>
  </si>
  <si>
    <t>Lungs</t>
  </si>
  <si>
    <t>Registry</t>
  </si>
  <si>
    <t>Delhi</t>
  </si>
  <si>
    <t>Bangalore</t>
  </si>
  <si>
    <t>Chennai</t>
  </si>
  <si>
    <t xml:space="preserve"> </t>
  </si>
  <si>
    <t>Mumbai</t>
  </si>
  <si>
    <t>Barshi</t>
  </si>
  <si>
    <t>2015-2019</t>
  </si>
  <si>
    <t>Bhopal</t>
  </si>
  <si>
    <t>All sites</t>
  </si>
  <si>
    <t xml:space="preserve">Delhi </t>
  </si>
  <si>
    <t>Correlation</t>
  </si>
  <si>
    <t>Registeries</t>
  </si>
  <si>
    <t>Age Adjusted Median   Vs   AAIR</t>
  </si>
  <si>
    <t>Male</t>
  </si>
  <si>
    <t>periods</t>
  </si>
  <si>
    <t>Crude Median</t>
  </si>
  <si>
    <t>Adjusted Median</t>
  </si>
  <si>
    <t>1985-89</t>
  </si>
  <si>
    <t>1990-94</t>
  </si>
  <si>
    <t>1995-99</t>
  </si>
  <si>
    <t>2000-04</t>
  </si>
  <si>
    <t>2005-09</t>
  </si>
  <si>
    <t>2010-14</t>
  </si>
  <si>
    <t>2015-18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</si>
</sst>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2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11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vertical="top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vertical="top"/>
    </xf>
    <xf numFmtId="1" fontId="2" fillId="0" borderId="0" xfId="0" applyNumberFormat="1" applyFont="1" applyAlignment="1">
      <alignment horizontal="center" vertical="top"/>
    </xf>
    <xf numFmtId="0" fontId="0" fillId="0" borderId="2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0" fillId="0" borderId="0" xfId="0" applyNumberFormat="1" applyAlignment="1">
      <alignment vertical="center"/>
    </xf>
    <xf numFmtId="1" fontId="0" fillId="0" borderId="1" xfId="0" applyNumberForma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1" fontId="0" fillId="0" borderId="1" xfId="0" applyNumberFormat="1" applyBorder="1"/>
    <xf numFmtId="165" fontId="0" fillId="0" borderId="1" xfId="0" applyNumberFormat="1" applyBorder="1"/>
    <xf numFmtId="1" fontId="2" fillId="0" borderId="1" xfId="0" applyNumberFormat="1" applyFont="1" applyBorder="1"/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top"/>
    </xf>
    <xf numFmtId="165" fontId="0" fillId="0" borderId="6" xfId="0" applyNumberFormat="1" applyBorder="1" applyAlignment="1">
      <alignment horizontal="right" vertic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6" xfId="0" applyNumberFormat="1" applyBorder="1" applyAlignment="1">
      <alignment vertical="center"/>
    </xf>
    <xf numFmtId="0" fontId="0" fillId="0" borderId="7" xfId="0" applyBorder="1" applyAlignment="1">
      <alignment horizontal="right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5FC9-D3A1-43F7-99A7-FB865C9D5CEE}">
  <dimension ref="E3:Y32"/>
  <sheetViews>
    <sheetView topLeftCell="A10" zoomScaleNormal="100" workbookViewId="0">
      <selection activeCell="E25" sqref="E25:M32"/>
    </sheetView>
  </sheetViews>
  <sheetFormatPr defaultRowHeight="14.4" x14ac:dyDescent="0.3"/>
  <cols>
    <col min="7" max="7" width="17.77734375" bestFit="1" customWidth="1"/>
    <col min="8" max="10" width="9.77734375" bestFit="1" customWidth="1"/>
    <col min="11" max="13" width="10.5546875" bestFit="1" customWidth="1"/>
  </cols>
  <sheetData>
    <row r="3" spans="5:25" x14ac:dyDescent="0.3">
      <c r="S3" s="80"/>
      <c r="T3" s="80"/>
      <c r="U3" s="80"/>
      <c r="V3" s="80"/>
      <c r="W3" s="80"/>
      <c r="X3" s="80"/>
      <c r="Y3" s="80"/>
    </row>
    <row r="4" spans="5:25" x14ac:dyDescent="0.3">
      <c r="E4" s="71" t="s">
        <v>18</v>
      </c>
      <c r="F4" s="71"/>
      <c r="G4" s="72"/>
      <c r="H4" s="72" t="s">
        <v>6</v>
      </c>
      <c r="I4" s="72"/>
      <c r="J4" s="72"/>
      <c r="K4" s="72"/>
      <c r="L4" s="72"/>
      <c r="M4" s="72"/>
      <c r="S4" s="25"/>
      <c r="T4" s="26"/>
      <c r="U4" s="26"/>
      <c r="V4" s="26"/>
      <c r="W4" s="26"/>
      <c r="X4" s="26"/>
      <c r="Y4" s="26"/>
    </row>
    <row r="5" spans="5:25" x14ac:dyDescent="0.3">
      <c r="E5" s="73" t="s">
        <v>19</v>
      </c>
      <c r="F5" s="73"/>
      <c r="G5" s="72"/>
      <c r="H5" s="1" t="s">
        <v>0</v>
      </c>
      <c r="I5" s="1" t="s">
        <v>1</v>
      </c>
      <c r="J5" s="1" t="s">
        <v>2</v>
      </c>
      <c r="K5" s="1" t="s">
        <v>3</v>
      </c>
      <c r="L5" s="1" t="s">
        <v>4</v>
      </c>
      <c r="M5" s="1" t="s">
        <v>5</v>
      </c>
      <c r="S5" s="27"/>
      <c r="T5" s="23"/>
      <c r="U5" s="23"/>
      <c r="V5" s="23"/>
      <c r="W5" s="23"/>
      <c r="X5" s="23"/>
      <c r="Y5" s="23"/>
    </row>
    <row r="6" spans="5:25" x14ac:dyDescent="0.3">
      <c r="E6" s="73"/>
      <c r="F6" s="73"/>
      <c r="G6" s="7" t="s">
        <v>9</v>
      </c>
      <c r="H6" s="5">
        <v>55</v>
      </c>
      <c r="I6" s="5">
        <v>55</v>
      </c>
      <c r="J6" s="5">
        <v>55</v>
      </c>
      <c r="K6" s="5">
        <v>54</v>
      </c>
      <c r="L6" s="5">
        <v>53</v>
      </c>
      <c r="M6" s="5">
        <v>52</v>
      </c>
      <c r="S6" s="27"/>
      <c r="T6" s="23"/>
      <c r="U6" s="23"/>
      <c r="V6" s="23"/>
      <c r="W6" s="23"/>
      <c r="X6" s="23"/>
      <c r="Y6" s="23"/>
    </row>
    <row r="7" spans="5:25" x14ac:dyDescent="0.3">
      <c r="E7" s="73"/>
      <c r="F7" s="73"/>
      <c r="G7" s="7" t="s">
        <v>10</v>
      </c>
      <c r="H7" s="2">
        <v>59.385738329214341</v>
      </c>
      <c r="I7" s="2">
        <v>59.247745171706754</v>
      </c>
      <c r="J7" s="2">
        <v>59.096195293245586</v>
      </c>
      <c r="K7" s="2">
        <v>57.753667830858923</v>
      </c>
      <c r="L7" s="2">
        <v>56.780887842452088</v>
      </c>
      <c r="M7" s="2">
        <v>55.017623311489032</v>
      </c>
      <c r="S7" s="27"/>
      <c r="T7" s="23"/>
      <c r="U7" s="23"/>
      <c r="V7" s="23"/>
      <c r="W7" s="23"/>
      <c r="X7" s="23"/>
      <c r="Y7" s="23"/>
    </row>
    <row r="8" spans="5:25" x14ac:dyDescent="0.3">
      <c r="E8" s="73"/>
      <c r="F8" s="73"/>
      <c r="G8" s="7" t="s">
        <v>13</v>
      </c>
      <c r="H8" s="18">
        <v>7.4929438435286198</v>
      </c>
      <c r="I8" s="18">
        <v>7.7209003911681391</v>
      </c>
      <c r="J8" s="18">
        <v>8.0091091908514542</v>
      </c>
      <c r="K8" s="18">
        <v>11.249698320311065</v>
      </c>
      <c r="L8" s="18">
        <v>14.930335854600012</v>
      </c>
      <c r="M8" s="18">
        <v>15.843164650788898</v>
      </c>
      <c r="S8" s="28"/>
      <c r="T8" s="29"/>
      <c r="U8" s="24"/>
      <c r="V8" s="29"/>
      <c r="W8" s="29"/>
      <c r="X8" s="29"/>
      <c r="Y8" s="29"/>
    </row>
    <row r="9" spans="5:25" x14ac:dyDescent="0.3">
      <c r="E9" s="73"/>
      <c r="F9" s="73"/>
      <c r="G9" s="7" t="s">
        <v>14</v>
      </c>
      <c r="H9" s="5">
        <v>1394</v>
      </c>
      <c r="I9" s="5">
        <v>1790</v>
      </c>
      <c r="J9" s="5">
        <v>2360</v>
      </c>
      <c r="K9" s="5">
        <v>4170</v>
      </c>
      <c r="L9" s="5">
        <v>6734</v>
      </c>
      <c r="M9" s="5">
        <v>4995</v>
      </c>
    </row>
    <row r="10" spans="5:25" x14ac:dyDescent="0.3">
      <c r="E10" s="73"/>
      <c r="F10" s="73"/>
      <c r="G10" s="7" t="s">
        <v>11</v>
      </c>
      <c r="H10" s="2">
        <f>H9/5</f>
        <v>278.8</v>
      </c>
      <c r="I10" s="5">
        <f>I9/5</f>
        <v>358</v>
      </c>
      <c r="J10" s="5">
        <f>J9/5</f>
        <v>472</v>
      </c>
      <c r="K10" s="5">
        <f>K9/5</f>
        <v>834</v>
      </c>
      <c r="L10" s="2">
        <f>L9/5</f>
        <v>1346.8</v>
      </c>
      <c r="M10" s="5">
        <f>M9/3</f>
        <v>1665</v>
      </c>
    </row>
    <row r="11" spans="5:25" x14ac:dyDescent="0.3">
      <c r="E11" s="73"/>
      <c r="F11" s="73"/>
      <c r="G11" s="7" t="s">
        <v>12</v>
      </c>
      <c r="H11" s="5">
        <v>24563438</v>
      </c>
      <c r="I11" s="8">
        <v>30364842</v>
      </c>
      <c r="J11" s="8">
        <v>36360806</v>
      </c>
      <c r="K11" s="8">
        <v>40542555</v>
      </c>
      <c r="L11" s="8">
        <v>45083087</v>
      </c>
      <c r="M11" s="8">
        <v>29438550</v>
      </c>
    </row>
    <row r="14" spans="5:25" x14ac:dyDescent="0.3">
      <c r="E14" s="71" t="s">
        <v>18</v>
      </c>
      <c r="F14" s="71"/>
      <c r="G14" s="81"/>
      <c r="H14" s="72" t="s">
        <v>7</v>
      </c>
      <c r="I14" s="72"/>
      <c r="J14" s="72"/>
      <c r="K14" s="72"/>
      <c r="L14" s="72"/>
      <c r="M14" s="72"/>
    </row>
    <row r="15" spans="5:25" x14ac:dyDescent="0.3">
      <c r="E15" s="73" t="s">
        <v>19</v>
      </c>
      <c r="F15" s="73"/>
      <c r="G15" s="82"/>
      <c r="H15" s="1" t="s">
        <v>0</v>
      </c>
      <c r="I15" s="1" t="s">
        <v>1</v>
      </c>
      <c r="J15" s="1" t="s">
        <v>2</v>
      </c>
      <c r="K15" s="1" t="s">
        <v>3</v>
      </c>
      <c r="L15" s="1" t="s">
        <v>4</v>
      </c>
      <c r="M15" s="1" t="s">
        <v>5</v>
      </c>
    </row>
    <row r="16" spans="5:25" x14ac:dyDescent="0.3">
      <c r="E16" s="73"/>
      <c r="F16" s="73"/>
      <c r="G16" s="7" t="s">
        <v>14</v>
      </c>
      <c r="H16" s="5">
        <v>1689</v>
      </c>
      <c r="I16" s="10">
        <v>2089</v>
      </c>
      <c r="J16" s="10">
        <v>2720</v>
      </c>
      <c r="K16" s="10">
        <v>3517</v>
      </c>
      <c r="L16" s="5">
        <v>5152</v>
      </c>
      <c r="M16" s="6">
        <v>3677</v>
      </c>
    </row>
    <row r="17" spans="5:13" x14ac:dyDescent="0.3">
      <c r="E17" s="73"/>
      <c r="F17" s="73"/>
      <c r="G17" s="7" t="s">
        <v>11</v>
      </c>
      <c r="H17" s="2">
        <f>H16/5</f>
        <v>337.8</v>
      </c>
      <c r="I17" s="2">
        <f t="shared" ref="I17" si="0">I16/5</f>
        <v>417.8</v>
      </c>
      <c r="J17" s="5">
        <f t="shared" ref="J17" si="1">J16/5</f>
        <v>544</v>
      </c>
      <c r="K17" s="5">
        <f t="shared" ref="K17" si="2">K16/5</f>
        <v>703.4</v>
      </c>
      <c r="L17" s="2">
        <f t="shared" ref="L17" si="3">L16/5</f>
        <v>1030.4000000000001</v>
      </c>
      <c r="M17" s="2">
        <f>M16/3</f>
        <v>1225.6666666666667</v>
      </c>
    </row>
    <row r="18" spans="5:13" x14ac:dyDescent="0.3">
      <c r="E18" s="73"/>
      <c r="F18" s="73"/>
      <c r="G18" s="7" t="s">
        <v>12</v>
      </c>
      <c r="H18" s="4">
        <v>24563438</v>
      </c>
      <c r="I18" s="4">
        <v>30364842</v>
      </c>
      <c r="J18" s="4">
        <v>36360806</v>
      </c>
      <c r="K18" s="4">
        <v>40542555</v>
      </c>
      <c r="L18" s="4">
        <v>45083087</v>
      </c>
      <c r="M18" s="4">
        <v>29438550</v>
      </c>
    </row>
    <row r="19" spans="5:13" x14ac:dyDescent="0.3">
      <c r="E19" s="73"/>
      <c r="F19" s="73"/>
      <c r="G19" s="7" t="s">
        <v>13</v>
      </c>
      <c r="H19" s="18">
        <v>9.5819752646478289</v>
      </c>
      <c r="I19" s="18">
        <v>9.6093565483395871</v>
      </c>
      <c r="J19" s="18">
        <v>9.9518916616615698</v>
      </c>
      <c r="K19" s="18">
        <v>6.0175889599514285</v>
      </c>
      <c r="L19" s="18">
        <v>12.441121241712001</v>
      </c>
      <c r="M19" s="19">
        <v>12.833350971679295</v>
      </c>
    </row>
    <row r="20" spans="5:13" x14ac:dyDescent="0.3">
      <c r="E20" s="73"/>
      <c r="F20" s="73"/>
      <c r="G20" s="7" t="s">
        <v>9</v>
      </c>
      <c r="H20" s="5">
        <v>58</v>
      </c>
      <c r="I20" s="5">
        <v>60</v>
      </c>
      <c r="J20" s="5">
        <v>60</v>
      </c>
      <c r="K20" s="5">
        <v>60</v>
      </c>
      <c r="L20" s="5">
        <v>61</v>
      </c>
      <c r="M20" s="5">
        <v>62</v>
      </c>
    </row>
    <row r="21" spans="5:13" x14ac:dyDescent="0.3">
      <c r="E21" s="73"/>
      <c r="F21" s="73"/>
      <c r="G21" s="7" t="s">
        <v>10</v>
      </c>
      <c r="H21" s="2">
        <v>61.831392033873314</v>
      </c>
      <c r="I21" s="2">
        <v>62.340396367067669</v>
      </c>
      <c r="J21" s="2">
        <v>62.613899096254492</v>
      </c>
      <c r="K21" s="2">
        <v>63.284570339734373</v>
      </c>
      <c r="L21" s="2">
        <v>63.766185060751233</v>
      </c>
      <c r="M21" s="2">
        <v>64</v>
      </c>
    </row>
    <row r="25" spans="5:13" x14ac:dyDescent="0.3">
      <c r="E25" s="71" t="s">
        <v>18</v>
      </c>
      <c r="F25" s="71"/>
      <c r="G25" s="72"/>
      <c r="H25" s="72" t="s">
        <v>8</v>
      </c>
      <c r="I25" s="72"/>
      <c r="J25" s="72"/>
      <c r="K25" s="72"/>
      <c r="L25" s="72"/>
      <c r="M25" s="72"/>
    </row>
    <row r="26" spans="5:13" x14ac:dyDescent="0.3">
      <c r="E26" s="73" t="s">
        <v>19</v>
      </c>
      <c r="F26" s="73"/>
      <c r="G26" s="72"/>
      <c r="H26" s="1" t="s">
        <v>0</v>
      </c>
      <c r="I26" s="1" t="s">
        <v>1</v>
      </c>
      <c r="J26" s="1" t="s">
        <v>2</v>
      </c>
      <c r="K26" s="1" t="s">
        <v>3</v>
      </c>
      <c r="L26" s="1" t="s">
        <v>4</v>
      </c>
      <c r="M26" s="1" t="s">
        <v>5</v>
      </c>
    </row>
    <row r="27" spans="5:13" x14ac:dyDescent="0.3">
      <c r="E27" s="73"/>
      <c r="F27" s="73"/>
      <c r="G27" s="7" t="s">
        <v>14</v>
      </c>
      <c r="H27" s="10">
        <v>736</v>
      </c>
      <c r="I27" s="11">
        <v>1023</v>
      </c>
      <c r="J27" s="10">
        <v>1542</v>
      </c>
      <c r="K27" s="10">
        <v>2389</v>
      </c>
      <c r="L27" s="10">
        <v>3193</v>
      </c>
      <c r="M27" s="10">
        <v>2434</v>
      </c>
    </row>
    <row r="28" spans="5:13" x14ac:dyDescent="0.3">
      <c r="E28" s="73"/>
      <c r="F28" s="73"/>
      <c r="G28" s="7" t="s">
        <v>11</v>
      </c>
      <c r="H28" s="2">
        <f>H27/5</f>
        <v>147.19999999999999</v>
      </c>
      <c r="I28" s="2">
        <f t="shared" ref="I28" si="4">I27/5</f>
        <v>204.6</v>
      </c>
      <c r="J28" s="5">
        <f t="shared" ref="J28" si="5">J27/5</f>
        <v>308.39999999999998</v>
      </c>
      <c r="K28" s="5">
        <f t="shared" ref="K28" si="6">K27/5</f>
        <v>477.8</v>
      </c>
      <c r="L28" s="2">
        <f t="shared" ref="L28" si="7">L27/5</f>
        <v>638.6</v>
      </c>
      <c r="M28" s="2">
        <f>M27/3</f>
        <v>811.33333333333337</v>
      </c>
    </row>
    <row r="29" spans="5:13" x14ac:dyDescent="0.3">
      <c r="E29" s="73"/>
      <c r="F29" s="73"/>
      <c r="G29" s="7" t="s">
        <v>12</v>
      </c>
      <c r="H29" s="5">
        <v>24563438</v>
      </c>
      <c r="I29" s="8">
        <v>30364842</v>
      </c>
      <c r="J29" s="8">
        <v>36360806</v>
      </c>
      <c r="K29" s="8">
        <v>40542555</v>
      </c>
      <c r="L29" s="8">
        <v>45083087</v>
      </c>
      <c r="M29" s="8">
        <v>29438550</v>
      </c>
    </row>
    <row r="30" spans="5:13" x14ac:dyDescent="0.3">
      <c r="E30" s="73"/>
      <c r="F30" s="73"/>
      <c r="G30" s="7" t="s">
        <v>13</v>
      </c>
      <c r="H30" s="21">
        <v>4.793394004475628</v>
      </c>
      <c r="I30" s="21">
        <v>5.323866067261795</v>
      </c>
      <c r="J30" s="21">
        <v>6.3425439427957455</v>
      </c>
      <c r="K30" s="21">
        <v>7.8283755884100552</v>
      </c>
      <c r="L30" s="21">
        <v>8.5405845536657345</v>
      </c>
      <c r="M30" s="19">
        <v>9.3509606731451633</v>
      </c>
    </row>
    <row r="31" spans="5:13" x14ac:dyDescent="0.3">
      <c r="E31" s="73"/>
      <c r="F31" s="73"/>
      <c r="G31" s="7" t="s">
        <v>9</v>
      </c>
      <c r="H31" s="2">
        <v>69</v>
      </c>
      <c r="I31" s="5">
        <v>70</v>
      </c>
      <c r="J31" s="5">
        <v>70</v>
      </c>
      <c r="K31" s="5">
        <v>70</v>
      </c>
      <c r="L31" s="5">
        <v>70</v>
      </c>
      <c r="M31" s="5">
        <v>70</v>
      </c>
    </row>
    <row r="32" spans="5:13" x14ac:dyDescent="0.3">
      <c r="E32" s="73"/>
      <c r="F32" s="73"/>
      <c r="G32" s="7" t="s">
        <v>10</v>
      </c>
      <c r="H32" s="2">
        <v>70.784161839925346</v>
      </c>
      <c r="I32" s="2">
        <v>70.713994438298002</v>
      </c>
      <c r="J32" s="2">
        <v>70.945933691496009</v>
      </c>
      <c r="K32" s="2">
        <v>71.694828479829411</v>
      </c>
      <c r="L32" s="2">
        <v>71.342083159846894</v>
      </c>
      <c r="M32" s="2">
        <v>72</v>
      </c>
    </row>
  </sheetData>
  <mergeCells count="13">
    <mergeCell ref="S3:Y3"/>
    <mergeCell ref="G4:G5"/>
    <mergeCell ref="H4:M4"/>
    <mergeCell ref="G14:G15"/>
    <mergeCell ref="H14:M14"/>
    <mergeCell ref="G25:G26"/>
    <mergeCell ref="H25:M25"/>
    <mergeCell ref="E4:F4"/>
    <mergeCell ref="E5:F11"/>
    <mergeCell ref="E14:F14"/>
    <mergeCell ref="E15:F21"/>
    <mergeCell ref="E25:F25"/>
    <mergeCell ref="E26:F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7F98-27DC-4F3F-B8E3-F809096D4B0C}">
  <dimension ref="E3:N30"/>
  <sheetViews>
    <sheetView topLeftCell="A10" workbookViewId="0">
      <selection activeCell="E23" sqref="E23:N30"/>
    </sheetView>
  </sheetViews>
  <sheetFormatPr defaultRowHeight="14.4" x14ac:dyDescent="0.3"/>
  <cols>
    <col min="7" max="7" width="17.77734375" bestFit="1" customWidth="1"/>
    <col min="8" max="12" width="9.6640625" bestFit="1" customWidth="1"/>
    <col min="13" max="13" width="10.5546875" bestFit="1" customWidth="1"/>
  </cols>
  <sheetData>
    <row r="3" spans="5:14" x14ac:dyDescent="0.3">
      <c r="E3" s="71" t="s">
        <v>18</v>
      </c>
      <c r="F3" s="71"/>
      <c r="G3" s="72"/>
      <c r="H3" s="86" t="s">
        <v>6</v>
      </c>
      <c r="I3" s="87"/>
      <c r="J3" s="87"/>
      <c r="K3" s="87"/>
      <c r="L3" s="87"/>
      <c r="M3" s="87"/>
      <c r="N3" s="88"/>
    </row>
    <row r="4" spans="5:14" x14ac:dyDescent="0.3">
      <c r="E4" s="73" t="s">
        <v>20</v>
      </c>
      <c r="F4" s="73"/>
      <c r="G4" s="72"/>
      <c r="H4" s="12" t="s">
        <v>15</v>
      </c>
      <c r="I4" s="1" t="s">
        <v>0</v>
      </c>
      <c r="J4" s="1" t="s">
        <v>1</v>
      </c>
      <c r="K4" s="1" t="s">
        <v>2</v>
      </c>
      <c r="L4" s="1" t="s">
        <v>3</v>
      </c>
      <c r="M4" s="1" t="s">
        <v>4</v>
      </c>
      <c r="N4" s="1" t="s">
        <v>16</v>
      </c>
    </row>
    <row r="5" spans="5:14" x14ac:dyDescent="0.3">
      <c r="E5" s="73"/>
      <c r="F5" s="73"/>
      <c r="G5" s="7" t="s">
        <v>14</v>
      </c>
      <c r="H5" s="5">
        <v>396</v>
      </c>
      <c r="I5" s="5">
        <v>451</v>
      </c>
      <c r="J5" s="5">
        <v>494</v>
      </c>
      <c r="K5" s="5">
        <v>646</v>
      </c>
      <c r="L5" s="5">
        <v>1086</v>
      </c>
      <c r="M5" s="5">
        <v>1671</v>
      </c>
      <c r="N5" s="5">
        <v>2162</v>
      </c>
    </row>
    <row r="6" spans="5:14" x14ac:dyDescent="0.3">
      <c r="E6" s="73"/>
      <c r="F6" s="73"/>
      <c r="G6" s="7" t="s">
        <v>11</v>
      </c>
      <c r="H6" s="5">
        <f>H5/5</f>
        <v>79.2</v>
      </c>
      <c r="I6" s="5">
        <f t="shared" ref="I6:M6" si="0">I5/5</f>
        <v>90.2</v>
      </c>
      <c r="J6" s="5">
        <f t="shared" si="0"/>
        <v>98.8</v>
      </c>
      <c r="K6" s="5">
        <f t="shared" si="0"/>
        <v>129.19999999999999</v>
      </c>
      <c r="L6" s="5">
        <f t="shared" si="0"/>
        <v>217.2</v>
      </c>
      <c r="M6" s="5">
        <f t="shared" si="0"/>
        <v>334.2</v>
      </c>
      <c r="N6" s="5">
        <f>N5/4</f>
        <v>540.5</v>
      </c>
    </row>
    <row r="7" spans="5:14" x14ac:dyDescent="0.3">
      <c r="E7" s="73"/>
      <c r="F7" s="73"/>
      <c r="G7" s="7" t="s">
        <v>12</v>
      </c>
      <c r="H7" s="13">
        <v>9951481</v>
      </c>
      <c r="I7" s="13">
        <v>11446640</v>
      </c>
      <c r="J7" s="13">
        <v>13391085</v>
      </c>
      <c r="K7" s="13">
        <v>15675396</v>
      </c>
      <c r="L7" s="8">
        <v>18566184</v>
      </c>
      <c r="M7" s="8">
        <v>22017283</v>
      </c>
      <c r="N7" s="13">
        <v>20525875</v>
      </c>
    </row>
    <row r="8" spans="5:14" x14ac:dyDescent="0.3">
      <c r="E8" s="73"/>
      <c r="F8" s="73"/>
      <c r="G8" s="7" t="s">
        <v>13</v>
      </c>
      <c r="H8" s="5">
        <v>5.1119710143249399</v>
      </c>
      <c r="I8" s="5">
        <v>4.8294912336889295</v>
      </c>
      <c r="J8" s="5">
        <v>4.3995216623612281</v>
      </c>
      <c r="K8" s="5">
        <v>4.5895345426796768</v>
      </c>
      <c r="L8" s="5">
        <v>5.9227397584887598</v>
      </c>
      <c r="M8" s="14">
        <v>7.2246228755449993</v>
      </c>
      <c r="N8" s="5">
        <v>9.6521581476929832</v>
      </c>
    </row>
    <row r="9" spans="5:14" x14ac:dyDescent="0.3">
      <c r="E9" s="73"/>
      <c r="F9" s="73"/>
      <c r="G9" s="7" t="s">
        <v>9</v>
      </c>
      <c r="H9" s="5">
        <v>57</v>
      </c>
      <c r="I9" s="5">
        <v>57</v>
      </c>
      <c r="J9" s="5">
        <v>58</v>
      </c>
      <c r="K9" s="5">
        <v>58</v>
      </c>
      <c r="L9" s="5">
        <v>56</v>
      </c>
      <c r="M9" s="5">
        <v>55</v>
      </c>
      <c r="N9" s="5">
        <v>56</v>
      </c>
    </row>
    <row r="10" spans="5:14" x14ac:dyDescent="0.3">
      <c r="E10" s="73"/>
      <c r="F10" s="73"/>
      <c r="G10" s="7" t="s">
        <v>10</v>
      </c>
      <c r="H10" s="2">
        <v>60.432031342337616</v>
      </c>
      <c r="I10" s="2">
        <v>60.831708673106355</v>
      </c>
      <c r="J10" s="2">
        <v>61.334422998033681</v>
      </c>
      <c r="K10" s="2">
        <v>61.135956954696944</v>
      </c>
      <c r="L10" s="2">
        <v>59.479217720159809</v>
      </c>
      <c r="M10" s="2">
        <v>58.332332448618352</v>
      </c>
      <c r="N10" s="2">
        <v>57.732080691579846</v>
      </c>
    </row>
    <row r="11" spans="5:14" x14ac:dyDescent="0.3">
      <c r="H11" s="16"/>
      <c r="I11" s="16"/>
      <c r="J11" s="16"/>
      <c r="K11" s="16"/>
      <c r="L11" s="16"/>
      <c r="M11" s="16"/>
      <c r="N11" s="16"/>
    </row>
    <row r="12" spans="5:14" x14ac:dyDescent="0.3">
      <c r="H12" s="16"/>
      <c r="I12" s="16"/>
      <c r="J12" s="16"/>
      <c r="K12" s="16"/>
      <c r="L12" s="16"/>
      <c r="M12" s="16"/>
      <c r="N12" s="16"/>
    </row>
    <row r="13" spans="5:14" x14ac:dyDescent="0.3">
      <c r="E13" s="71" t="s">
        <v>18</v>
      </c>
      <c r="F13" s="71"/>
      <c r="G13" s="72"/>
      <c r="H13" s="83" t="s">
        <v>17</v>
      </c>
      <c r="I13" s="84"/>
      <c r="J13" s="84"/>
      <c r="K13" s="84"/>
      <c r="L13" s="84"/>
      <c r="M13" s="84"/>
      <c r="N13" s="85"/>
    </row>
    <row r="14" spans="5:14" x14ac:dyDescent="0.3">
      <c r="E14" s="73" t="s">
        <v>20</v>
      </c>
      <c r="F14" s="73"/>
      <c r="G14" s="72"/>
      <c r="H14" s="1" t="s">
        <v>15</v>
      </c>
      <c r="I14" s="1" t="s">
        <v>0</v>
      </c>
      <c r="J14" s="1" t="s">
        <v>1</v>
      </c>
      <c r="K14" s="1" t="s">
        <v>2</v>
      </c>
      <c r="L14" s="1" t="s">
        <v>3</v>
      </c>
      <c r="M14" s="1" t="s">
        <v>4</v>
      </c>
      <c r="N14" s="1" t="s">
        <v>16</v>
      </c>
    </row>
    <row r="15" spans="5:14" x14ac:dyDescent="0.3">
      <c r="E15" s="73"/>
      <c r="F15" s="73"/>
      <c r="G15" s="7" t="s">
        <v>14</v>
      </c>
      <c r="H15" s="5">
        <v>535</v>
      </c>
      <c r="I15" s="5">
        <v>506</v>
      </c>
      <c r="J15" s="5">
        <v>553</v>
      </c>
      <c r="K15" s="5">
        <v>804</v>
      </c>
      <c r="L15" s="5">
        <v>1271</v>
      </c>
      <c r="M15" s="5">
        <v>1959</v>
      </c>
      <c r="N15" s="5">
        <v>2099</v>
      </c>
    </row>
    <row r="16" spans="5:14" x14ac:dyDescent="0.3">
      <c r="E16" s="73"/>
      <c r="F16" s="73"/>
      <c r="G16" s="7" t="s">
        <v>11</v>
      </c>
      <c r="H16" s="16">
        <f>H15/5</f>
        <v>107</v>
      </c>
      <c r="I16" s="16">
        <f t="shared" ref="I16:M16" si="1">I15/5</f>
        <v>101.2</v>
      </c>
      <c r="J16" s="16">
        <f t="shared" si="1"/>
        <v>110.6</v>
      </c>
      <c r="K16" s="16">
        <f t="shared" si="1"/>
        <v>160.80000000000001</v>
      </c>
      <c r="L16" s="16">
        <f t="shared" si="1"/>
        <v>254.2</v>
      </c>
      <c r="M16" s="16">
        <f t="shared" si="1"/>
        <v>391.8</v>
      </c>
      <c r="N16" s="16">
        <f>N15/4</f>
        <v>524.75</v>
      </c>
    </row>
    <row r="17" spans="5:14" x14ac:dyDescent="0.3">
      <c r="E17" s="73"/>
      <c r="F17" s="73"/>
      <c r="G17" s="7" t="s">
        <v>12</v>
      </c>
      <c r="H17" s="13">
        <v>9951481</v>
      </c>
      <c r="I17" s="13">
        <v>11446640</v>
      </c>
      <c r="J17" s="13">
        <v>13391085</v>
      </c>
      <c r="K17" s="13">
        <v>15675396</v>
      </c>
      <c r="L17" s="8">
        <v>18566184</v>
      </c>
      <c r="M17" s="8">
        <v>22017283</v>
      </c>
      <c r="N17" s="13">
        <v>20525875</v>
      </c>
    </row>
    <row r="18" spans="5:14" x14ac:dyDescent="0.3">
      <c r="E18" s="73"/>
      <c r="F18" s="73"/>
      <c r="G18" s="7" t="s">
        <v>13</v>
      </c>
      <c r="H18" s="14">
        <v>7.160078696556134</v>
      </c>
      <c r="I18" s="5">
        <v>5.6478077568061922</v>
      </c>
      <c r="J18" s="5">
        <v>5.0363494699112987</v>
      </c>
      <c r="K18" s="5">
        <v>5.9718918376115475</v>
      </c>
      <c r="L18" s="5">
        <v>7.381375844695631</v>
      </c>
      <c r="M18" s="15">
        <v>9.012284134710832</v>
      </c>
      <c r="N18" s="5">
        <v>9.8254360245356995</v>
      </c>
    </row>
    <row r="19" spans="5:14" x14ac:dyDescent="0.3">
      <c r="E19" s="73"/>
      <c r="F19" s="73"/>
      <c r="G19" s="7" t="s">
        <v>9</v>
      </c>
      <c r="H19" s="5">
        <v>60</v>
      </c>
      <c r="I19" s="5">
        <v>60</v>
      </c>
      <c r="J19" s="5">
        <v>61</v>
      </c>
      <c r="K19" s="5">
        <v>63</v>
      </c>
      <c r="L19" s="5">
        <v>63</v>
      </c>
      <c r="M19" s="5">
        <v>64</v>
      </c>
      <c r="N19" s="5">
        <v>64</v>
      </c>
    </row>
    <row r="20" spans="5:14" x14ac:dyDescent="0.3">
      <c r="E20" s="73"/>
      <c r="F20" s="73"/>
      <c r="G20" s="7" t="s">
        <v>10</v>
      </c>
      <c r="H20" s="2">
        <v>62.238568295546919</v>
      </c>
      <c r="I20" s="2">
        <v>63.07096615096598</v>
      </c>
      <c r="J20" s="2">
        <v>63.979261171043419</v>
      </c>
      <c r="K20" s="2">
        <v>65.336917267971685</v>
      </c>
      <c r="L20" s="2">
        <v>65.521266993572468</v>
      </c>
      <c r="M20" s="2">
        <v>65.252687436860029</v>
      </c>
      <c r="N20" s="2">
        <v>65.33717887269998</v>
      </c>
    </row>
    <row r="23" spans="5:14" x14ac:dyDescent="0.3">
      <c r="E23" s="71" t="s">
        <v>18</v>
      </c>
      <c r="F23" s="71"/>
      <c r="G23" s="72"/>
      <c r="H23" s="83" t="s">
        <v>8</v>
      </c>
      <c r="I23" s="84"/>
      <c r="J23" s="84"/>
      <c r="K23" s="84"/>
      <c r="L23" s="84"/>
      <c r="M23" s="84"/>
      <c r="N23" s="85"/>
    </row>
    <row r="24" spans="5:14" x14ac:dyDescent="0.3">
      <c r="E24" s="73" t="s">
        <v>20</v>
      </c>
      <c r="F24" s="73"/>
      <c r="G24" s="72"/>
      <c r="H24" s="1" t="s">
        <v>15</v>
      </c>
      <c r="I24" s="1" t="s">
        <v>0</v>
      </c>
      <c r="J24" s="1" t="s">
        <v>1</v>
      </c>
      <c r="K24" s="1" t="s">
        <v>2</v>
      </c>
      <c r="L24" s="1" t="s">
        <v>3</v>
      </c>
      <c r="M24" s="1" t="s">
        <v>4</v>
      </c>
      <c r="N24" s="1" t="s">
        <v>16</v>
      </c>
    </row>
    <row r="25" spans="5:14" x14ac:dyDescent="0.3">
      <c r="E25" s="73"/>
      <c r="F25" s="73"/>
      <c r="G25" s="7" t="s">
        <v>14</v>
      </c>
      <c r="H25" s="5">
        <v>249</v>
      </c>
      <c r="I25" s="5">
        <v>274</v>
      </c>
      <c r="J25" s="5">
        <v>344</v>
      </c>
      <c r="K25" s="5">
        <v>591</v>
      </c>
      <c r="L25" s="5">
        <v>974</v>
      </c>
      <c r="M25" s="5">
        <v>1337</v>
      </c>
      <c r="N25" s="5">
        <v>1494</v>
      </c>
    </row>
    <row r="26" spans="5:14" x14ac:dyDescent="0.3">
      <c r="E26" s="73"/>
      <c r="F26" s="73"/>
      <c r="G26" s="7" t="s">
        <v>11</v>
      </c>
      <c r="H26" s="5">
        <f>H25/5</f>
        <v>49.8</v>
      </c>
      <c r="I26" s="5">
        <f t="shared" ref="I26:M26" si="2">I25/5</f>
        <v>54.8</v>
      </c>
      <c r="J26" s="5">
        <f t="shared" si="2"/>
        <v>68.8</v>
      </c>
      <c r="K26" s="5">
        <f t="shared" si="2"/>
        <v>118.2</v>
      </c>
      <c r="L26" s="5">
        <f t="shared" si="2"/>
        <v>194.8</v>
      </c>
      <c r="M26" s="5">
        <f t="shared" si="2"/>
        <v>267.39999999999998</v>
      </c>
      <c r="N26" s="5">
        <f>N25/4</f>
        <v>373.5</v>
      </c>
    </row>
    <row r="27" spans="5:14" x14ac:dyDescent="0.3">
      <c r="E27" s="73"/>
      <c r="F27" s="73"/>
      <c r="G27" s="7" t="s">
        <v>12</v>
      </c>
      <c r="H27" s="13">
        <v>9951481</v>
      </c>
      <c r="I27" s="13">
        <v>11446640</v>
      </c>
      <c r="J27" s="13">
        <v>13391085</v>
      </c>
      <c r="K27" s="13">
        <v>15675396</v>
      </c>
      <c r="L27" s="8">
        <v>18566184</v>
      </c>
      <c r="M27" s="8">
        <v>22017283</v>
      </c>
      <c r="N27" s="13">
        <v>20525875</v>
      </c>
    </row>
    <row r="28" spans="5:14" x14ac:dyDescent="0.3">
      <c r="E28" s="73"/>
      <c r="F28" s="73"/>
      <c r="G28" s="7" t="s">
        <v>13</v>
      </c>
      <c r="H28" s="5">
        <v>3.622876480109984</v>
      </c>
      <c r="I28" s="5">
        <v>3.2458704211957623</v>
      </c>
      <c r="J28" s="5">
        <v>3.3868572476103784</v>
      </c>
      <c r="K28" s="5">
        <v>4.725812861835033</v>
      </c>
      <c r="L28" s="5">
        <v>5.9254032391153242</v>
      </c>
      <c r="M28" s="5">
        <v>6.3629735780437455</v>
      </c>
      <c r="N28" s="5">
        <f>ROUND(7.24154808638107,3)</f>
        <v>7.242</v>
      </c>
    </row>
    <row r="29" spans="5:14" x14ac:dyDescent="0.3">
      <c r="E29" s="73"/>
      <c r="F29" s="73"/>
      <c r="G29" s="7" t="s">
        <v>9</v>
      </c>
      <c r="H29" s="5">
        <v>70</v>
      </c>
      <c r="I29" s="2">
        <v>70</v>
      </c>
      <c r="J29" s="5">
        <v>70</v>
      </c>
      <c r="K29" s="5">
        <v>73</v>
      </c>
      <c r="L29" s="5">
        <v>71</v>
      </c>
      <c r="M29" s="5">
        <v>71</v>
      </c>
      <c r="N29" s="5">
        <v>71</v>
      </c>
    </row>
    <row r="30" spans="5:14" x14ac:dyDescent="0.3">
      <c r="E30" s="73"/>
      <c r="F30" s="73"/>
      <c r="G30" s="7" t="s">
        <v>10</v>
      </c>
      <c r="H30" s="2">
        <v>70.592023499584243</v>
      </c>
      <c r="I30" s="2">
        <v>70.758561589657532</v>
      </c>
      <c r="J30" s="2">
        <v>71.740554838111578</v>
      </c>
      <c r="K30" s="2">
        <v>73.077506995186013</v>
      </c>
      <c r="L30" s="2">
        <v>71.752301052363279</v>
      </c>
      <c r="M30" s="2">
        <v>72.052381676820261</v>
      </c>
      <c r="N30" s="2">
        <v>71.022535046831294</v>
      </c>
    </row>
  </sheetData>
  <mergeCells count="12">
    <mergeCell ref="G13:G14"/>
    <mergeCell ref="H13:N13"/>
    <mergeCell ref="G23:G24"/>
    <mergeCell ref="H23:N23"/>
    <mergeCell ref="E3:F3"/>
    <mergeCell ref="E4:F10"/>
    <mergeCell ref="E13:F13"/>
    <mergeCell ref="E14:F20"/>
    <mergeCell ref="E23:F23"/>
    <mergeCell ref="E24:F30"/>
    <mergeCell ref="H3:N3"/>
    <mergeCell ref="G3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4E7B-0A0C-4859-88AA-C70AE2AD6B64}">
  <dimension ref="D2:M29"/>
  <sheetViews>
    <sheetView topLeftCell="A10" workbookViewId="0">
      <selection activeCell="D22" sqref="D22:M29"/>
    </sheetView>
  </sheetViews>
  <sheetFormatPr defaultRowHeight="14.4" x14ac:dyDescent="0.3"/>
  <cols>
    <col min="6" max="6" width="17.77734375" bestFit="1" customWidth="1"/>
    <col min="7" max="13" width="9.6640625" bestFit="1" customWidth="1"/>
  </cols>
  <sheetData>
    <row r="2" spans="4:13" x14ac:dyDescent="0.3">
      <c r="D2" s="71" t="s">
        <v>18</v>
      </c>
      <c r="E2" s="71"/>
      <c r="F2" s="72"/>
      <c r="G2" s="86" t="s">
        <v>6</v>
      </c>
      <c r="H2" s="87"/>
      <c r="I2" s="87"/>
      <c r="J2" s="87"/>
      <c r="K2" s="87"/>
      <c r="L2" s="87"/>
      <c r="M2" s="88"/>
    </row>
    <row r="3" spans="4:13" x14ac:dyDescent="0.3">
      <c r="D3" s="73" t="s">
        <v>21</v>
      </c>
      <c r="E3" s="73"/>
      <c r="F3" s="72"/>
      <c r="G3" s="12" t="s">
        <v>15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16</v>
      </c>
    </row>
    <row r="4" spans="4:13" x14ac:dyDescent="0.3">
      <c r="D4" s="73"/>
      <c r="E4" s="73"/>
      <c r="F4" s="7" t="s">
        <v>14</v>
      </c>
      <c r="G4" s="5">
        <v>64</v>
      </c>
      <c r="H4" s="5">
        <v>839</v>
      </c>
      <c r="I4" s="5">
        <v>933</v>
      </c>
      <c r="J4" s="5">
        <v>1112</v>
      </c>
      <c r="K4" s="5">
        <v>1426</v>
      </c>
      <c r="L4" s="5">
        <v>1972</v>
      </c>
      <c r="M4" s="5">
        <v>2001</v>
      </c>
    </row>
    <row r="5" spans="4:13" x14ac:dyDescent="0.3">
      <c r="D5" s="73"/>
      <c r="E5" s="73"/>
      <c r="F5" s="7" t="s">
        <v>11</v>
      </c>
      <c r="G5" s="5">
        <f>G4/5</f>
        <v>12.8</v>
      </c>
      <c r="H5" s="5">
        <f t="shared" ref="H5:L5" si="0">H4/5</f>
        <v>167.8</v>
      </c>
      <c r="I5" s="5">
        <f t="shared" si="0"/>
        <v>186.6</v>
      </c>
      <c r="J5" s="5">
        <f t="shared" si="0"/>
        <v>222.4</v>
      </c>
      <c r="K5" s="5">
        <f t="shared" si="0"/>
        <v>285.2</v>
      </c>
      <c r="L5" s="5">
        <f t="shared" si="0"/>
        <v>394.4</v>
      </c>
      <c r="M5" s="5">
        <f>M4/4</f>
        <v>500.25</v>
      </c>
    </row>
    <row r="6" spans="4:13" x14ac:dyDescent="0.3">
      <c r="D6" s="73"/>
      <c r="E6" s="73"/>
      <c r="F6" s="7" t="s">
        <v>12</v>
      </c>
      <c r="G6" s="13">
        <v>9370944</v>
      </c>
      <c r="H6" s="13">
        <v>10074451</v>
      </c>
      <c r="I6" s="17">
        <v>10656255</v>
      </c>
      <c r="J6" s="17">
        <v>11164995</v>
      </c>
      <c r="K6" s="8">
        <v>11462838</v>
      </c>
      <c r="L6" s="8">
        <v>11759331</v>
      </c>
      <c r="M6" s="4">
        <v>9626085</v>
      </c>
    </row>
    <row r="7" spans="4:13" x14ac:dyDescent="0.3">
      <c r="D7" s="73"/>
      <c r="E7" s="73"/>
      <c r="F7" s="7" t="s">
        <v>13</v>
      </c>
      <c r="G7" s="9">
        <v>9.5398642077063709</v>
      </c>
      <c r="H7" s="5">
        <v>8.7552555395601193</v>
      </c>
      <c r="I7" s="5">
        <v>8.5738443313349197</v>
      </c>
      <c r="J7" s="5">
        <v>8.8962704317208665</v>
      </c>
      <c r="K7" s="5">
        <v>10.273665805209543</v>
      </c>
      <c r="L7" s="14">
        <v>12.861090032935731</v>
      </c>
      <c r="M7" s="5">
        <v>15.059218566781132</v>
      </c>
    </row>
    <row r="8" spans="4:13" x14ac:dyDescent="0.3">
      <c r="D8" s="73"/>
      <c r="E8" s="73"/>
      <c r="F8" s="7" t="s">
        <v>9</v>
      </c>
      <c r="G8" s="5">
        <v>55</v>
      </c>
      <c r="H8" s="5">
        <v>57</v>
      </c>
      <c r="I8" s="5">
        <v>58</v>
      </c>
      <c r="J8" s="5">
        <v>55</v>
      </c>
      <c r="K8" s="5">
        <v>55</v>
      </c>
      <c r="L8" s="5">
        <v>52</v>
      </c>
      <c r="M8" s="5">
        <v>52</v>
      </c>
    </row>
    <row r="9" spans="4:13" x14ac:dyDescent="0.3">
      <c r="D9" s="73"/>
      <c r="E9" s="73"/>
      <c r="F9" s="7" t="s">
        <v>10</v>
      </c>
      <c r="G9" s="2">
        <v>59</v>
      </c>
      <c r="H9" s="2">
        <v>60</v>
      </c>
      <c r="I9" s="2">
        <v>60</v>
      </c>
      <c r="J9" s="2">
        <v>58</v>
      </c>
      <c r="K9" s="2">
        <v>57</v>
      </c>
      <c r="L9" s="2">
        <v>53</v>
      </c>
      <c r="M9" s="2">
        <v>52</v>
      </c>
    </row>
    <row r="12" spans="4:13" x14ac:dyDescent="0.3">
      <c r="D12" s="71" t="s">
        <v>18</v>
      </c>
      <c r="E12" s="71"/>
      <c r="F12" s="72"/>
      <c r="G12" s="83" t="s">
        <v>17</v>
      </c>
      <c r="H12" s="84"/>
      <c r="I12" s="84"/>
      <c r="J12" s="84"/>
      <c r="K12" s="84"/>
      <c r="L12" s="84"/>
      <c r="M12" s="85"/>
    </row>
    <row r="13" spans="4:13" x14ac:dyDescent="0.3">
      <c r="D13" s="73" t="s">
        <v>21</v>
      </c>
      <c r="E13" s="73"/>
      <c r="F13" s="72"/>
      <c r="G13" s="1" t="s">
        <v>15</v>
      </c>
      <c r="H13" s="1" t="s">
        <v>0</v>
      </c>
      <c r="I13" s="1" t="s">
        <v>1</v>
      </c>
      <c r="J13" s="1" t="s">
        <v>2</v>
      </c>
      <c r="K13" s="1" t="s">
        <v>3</v>
      </c>
      <c r="L13" s="1" t="s">
        <v>4</v>
      </c>
      <c r="M13" s="1" t="s">
        <v>16</v>
      </c>
    </row>
    <row r="14" spans="4:13" x14ac:dyDescent="0.3">
      <c r="D14" s="73"/>
      <c r="E14" s="73"/>
      <c r="F14" s="7" t="s">
        <v>14</v>
      </c>
      <c r="G14" s="5">
        <v>583</v>
      </c>
      <c r="H14" s="5">
        <v>875</v>
      </c>
      <c r="I14" s="5">
        <v>868</v>
      </c>
      <c r="J14" s="5">
        <v>1031</v>
      </c>
      <c r="K14" s="5">
        <v>1340</v>
      </c>
      <c r="L14" s="5">
        <v>1369</v>
      </c>
      <c r="M14" s="10">
        <v>1205</v>
      </c>
    </row>
    <row r="15" spans="4:13" x14ac:dyDescent="0.3">
      <c r="D15" s="73"/>
      <c r="E15" s="73"/>
      <c r="F15" s="7" t="s">
        <v>11</v>
      </c>
      <c r="G15" s="16">
        <f>G14/5</f>
        <v>116.6</v>
      </c>
      <c r="H15" s="16">
        <f t="shared" ref="H15:L15" si="1">H14/5</f>
        <v>175</v>
      </c>
      <c r="I15" s="16">
        <f t="shared" si="1"/>
        <v>173.6</v>
      </c>
      <c r="J15" s="16">
        <f t="shared" si="1"/>
        <v>206.2</v>
      </c>
      <c r="K15" s="16">
        <f t="shared" si="1"/>
        <v>268</v>
      </c>
      <c r="L15" s="16">
        <f t="shared" si="1"/>
        <v>273.8</v>
      </c>
      <c r="M15" s="16">
        <f>M14/4</f>
        <v>301.25</v>
      </c>
    </row>
    <row r="16" spans="4:13" x14ac:dyDescent="0.3">
      <c r="D16" s="73"/>
      <c r="E16" s="73"/>
      <c r="F16" s="7" t="s">
        <v>12</v>
      </c>
      <c r="G16" s="13">
        <v>9370944</v>
      </c>
      <c r="H16" s="13">
        <v>10074451</v>
      </c>
      <c r="I16" s="17">
        <v>10656255</v>
      </c>
      <c r="J16" s="17">
        <v>11164995</v>
      </c>
      <c r="K16" s="8">
        <v>11462838</v>
      </c>
      <c r="L16" s="8">
        <v>11759331</v>
      </c>
      <c r="M16" s="4">
        <v>9626085</v>
      </c>
    </row>
    <row r="17" spans="4:13" x14ac:dyDescent="0.3">
      <c r="D17" s="73"/>
      <c r="E17" s="73"/>
      <c r="F17" s="7" t="s">
        <v>13</v>
      </c>
      <c r="G17" s="14">
        <v>6.8793990392689022</v>
      </c>
      <c r="H17" s="5">
        <v>9.1099279304148197</v>
      </c>
      <c r="I17" s="5">
        <v>8.0002321346086234</v>
      </c>
      <c r="J17" s="5">
        <v>8.4423678445279275</v>
      </c>
      <c r="K17" s="5">
        <v>9.8244776053369094</v>
      </c>
      <c r="L17" s="15">
        <v>9.09705132487389</v>
      </c>
      <c r="M17" s="5">
        <v>9.1867147027131608</v>
      </c>
    </row>
    <row r="18" spans="4:13" x14ac:dyDescent="0.3">
      <c r="D18" s="73"/>
      <c r="E18" s="73"/>
      <c r="F18" s="7" t="s">
        <v>9</v>
      </c>
      <c r="G18" s="5">
        <v>56</v>
      </c>
      <c r="H18" s="5">
        <v>58</v>
      </c>
      <c r="I18" s="5">
        <v>58</v>
      </c>
      <c r="J18" s="5">
        <v>60</v>
      </c>
      <c r="K18" s="5">
        <v>60</v>
      </c>
      <c r="L18" s="5">
        <v>62</v>
      </c>
      <c r="M18" s="5">
        <v>64</v>
      </c>
    </row>
    <row r="19" spans="4:13" x14ac:dyDescent="0.3">
      <c r="D19" s="73"/>
      <c r="E19" s="73"/>
      <c r="F19" s="7" t="s">
        <v>10</v>
      </c>
      <c r="G19" s="5">
        <v>59</v>
      </c>
      <c r="H19" s="5">
        <v>60</v>
      </c>
      <c r="I19" s="5">
        <v>60</v>
      </c>
      <c r="J19" s="5">
        <v>62</v>
      </c>
      <c r="K19" s="5">
        <v>62</v>
      </c>
      <c r="L19" s="5">
        <v>64</v>
      </c>
      <c r="M19" s="5">
        <v>65</v>
      </c>
    </row>
    <row r="22" spans="4:13" x14ac:dyDescent="0.3">
      <c r="D22" s="71" t="s">
        <v>18</v>
      </c>
      <c r="E22" s="71"/>
      <c r="F22" s="72"/>
      <c r="G22" s="83" t="s">
        <v>8</v>
      </c>
      <c r="H22" s="84"/>
      <c r="I22" s="84"/>
      <c r="J22" s="84"/>
      <c r="K22" s="84"/>
      <c r="L22" s="84"/>
      <c r="M22" s="85"/>
    </row>
    <row r="23" spans="4:13" x14ac:dyDescent="0.3">
      <c r="D23" s="73" t="s">
        <v>21</v>
      </c>
      <c r="E23" s="73"/>
      <c r="F23" s="72"/>
      <c r="G23" s="1" t="s">
        <v>15</v>
      </c>
      <c r="H23" s="1" t="s">
        <v>0</v>
      </c>
      <c r="I23" s="1" t="s">
        <v>1</v>
      </c>
      <c r="J23" s="1" t="s">
        <v>2</v>
      </c>
      <c r="K23" s="1" t="s">
        <v>3</v>
      </c>
      <c r="L23" s="1" t="s">
        <v>4</v>
      </c>
      <c r="M23" s="1" t="s">
        <v>16</v>
      </c>
    </row>
    <row r="24" spans="4:13" x14ac:dyDescent="0.3">
      <c r="D24" s="73"/>
      <c r="E24" s="73"/>
      <c r="F24" s="7" t="s">
        <v>14</v>
      </c>
      <c r="G24" s="6">
        <v>132</v>
      </c>
      <c r="H24" s="5">
        <v>208</v>
      </c>
      <c r="I24" s="5">
        <v>355</v>
      </c>
      <c r="J24" s="5">
        <v>388</v>
      </c>
      <c r="K24" s="5">
        <v>533</v>
      </c>
      <c r="L24" s="5">
        <v>714</v>
      </c>
      <c r="M24" s="5">
        <v>909</v>
      </c>
    </row>
    <row r="25" spans="4:13" x14ac:dyDescent="0.3">
      <c r="D25" s="73"/>
      <c r="E25" s="73"/>
      <c r="F25" s="7" t="s">
        <v>11</v>
      </c>
      <c r="G25" s="5">
        <f>G24/5</f>
        <v>26.4</v>
      </c>
      <c r="H25" s="5">
        <f t="shared" ref="H25:M25" si="2">H24/5</f>
        <v>41.6</v>
      </c>
      <c r="I25" s="5">
        <f t="shared" si="2"/>
        <v>71</v>
      </c>
      <c r="J25" s="5">
        <f t="shared" si="2"/>
        <v>77.599999999999994</v>
      </c>
      <c r="K25" s="5">
        <f t="shared" si="2"/>
        <v>106.6</v>
      </c>
      <c r="L25" s="5">
        <f t="shared" si="2"/>
        <v>142.80000000000001</v>
      </c>
      <c r="M25" s="5">
        <f t="shared" si="2"/>
        <v>181.8</v>
      </c>
    </row>
    <row r="26" spans="4:13" x14ac:dyDescent="0.3">
      <c r="D26" s="73"/>
      <c r="E26" s="73"/>
      <c r="F26" s="7" t="s">
        <v>12</v>
      </c>
      <c r="G26" s="13">
        <v>9370944</v>
      </c>
      <c r="H26" s="13">
        <v>10074451</v>
      </c>
      <c r="I26" s="17">
        <v>10656255</v>
      </c>
      <c r="J26" s="17">
        <v>11164995</v>
      </c>
      <c r="K26" s="8">
        <v>11462838</v>
      </c>
      <c r="L26" s="8">
        <v>11759331</v>
      </c>
      <c r="M26" s="4">
        <v>9626085</v>
      </c>
    </row>
    <row r="27" spans="4:13" x14ac:dyDescent="0.3">
      <c r="D27" s="73"/>
      <c r="E27" s="73"/>
      <c r="F27" s="7" t="s">
        <v>13</v>
      </c>
      <c r="G27">
        <v>1.7942300908470672</v>
      </c>
      <c r="H27" s="5">
        <v>2.4265875006547866</v>
      </c>
      <c r="I27" s="5">
        <v>3.465095738557455</v>
      </c>
      <c r="J27" s="5">
        <v>3.2486531019821179</v>
      </c>
      <c r="K27" s="5">
        <v>3.9740955704239127</v>
      </c>
      <c r="L27" s="5">
        <v>4.8066643408580747</v>
      </c>
      <c r="M27" s="5">
        <v>6.9955573645140605</v>
      </c>
    </row>
    <row r="28" spans="4:13" x14ac:dyDescent="0.3">
      <c r="D28" s="73"/>
      <c r="E28" s="73"/>
      <c r="F28" s="7" t="s">
        <v>9</v>
      </c>
      <c r="G28" s="5">
        <v>67</v>
      </c>
      <c r="H28" s="2">
        <v>70</v>
      </c>
      <c r="I28" s="5">
        <v>71</v>
      </c>
      <c r="J28" s="5">
        <v>71</v>
      </c>
      <c r="K28" s="5">
        <v>71</v>
      </c>
      <c r="L28" s="5">
        <v>73</v>
      </c>
      <c r="M28" s="5">
        <v>73</v>
      </c>
    </row>
    <row r="29" spans="4:13" x14ac:dyDescent="0.3">
      <c r="D29" s="73"/>
      <c r="E29" s="73"/>
      <c r="F29" s="7" t="s">
        <v>10</v>
      </c>
      <c r="G29" s="5">
        <v>70</v>
      </c>
      <c r="H29" s="5">
        <v>71</v>
      </c>
      <c r="I29" s="5">
        <v>72</v>
      </c>
      <c r="J29" s="5">
        <v>71</v>
      </c>
      <c r="K29" s="5">
        <v>72</v>
      </c>
      <c r="L29" s="5">
        <v>73</v>
      </c>
      <c r="M29" s="5">
        <v>73</v>
      </c>
    </row>
  </sheetData>
  <mergeCells count="12">
    <mergeCell ref="F22:F23"/>
    <mergeCell ref="G22:M22"/>
    <mergeCell ref="D2:E2"/>
    <mergeCell ref="D3:E9"/>
    <mergeCell ref="D12:E12"/>
    <mergeCell ref="D13:E19"/>
    <mergeCell ref="D22:E22"/>
    <mergeCell ref="D23:E29"/>
    <mergeCell ref="F2:F3"/>
    <mergeCell ref="G2:M2"/>
    <mergeCell ref="F12:F13"/>
    <mergeCell ref="G12:M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2F52-96EC-4056-B306-801AAB9D653B}">
  <dimension ref="C3:W60"/>
  <sheetViews>
    <sheetView topLeftCell="A40" zoomScaleNormal="100" workbookViewId="0">
      <selection activeCell="F56" sqref="F56:K56"/>
    </sheetView>
  </sheetViews>
  <sheetFormatPr defaultRowHeight="14.4" x14ac:dyDescent="0.3"/>
  <cols>
    <col min="4" max="4" width="0.77734375" customWidth="1"/>
    <col min="5" max="5" width="17.21875" customWidth="1"/>
    <col min="6" max="6" width="11.6640625" bestFit="1" customWidth="1"/>
    <col min="7" max="8" width="9.88671875" bestFit="1" customWidth="1"/>
    <col min="9" max="11" width="10.6640625" bestFit="1" customWidth="1"/>
    <col min="12" max="12" width="10.5546875" bestFit="1" customWidth="1"/>
    <col min="14" max="16" width="17.77734375" bestFit="1" customWidth="1"/>
    <col min="17" max="21" width="9.6640625" bestFit="1" customWidth="1"/>
  </cols>
  <sheetData>
    <row r="3" spans="3:22" x14ac:dyDescent="0.3">
      <c r="C3" s="71" t="s">
        <v>18</v>
      </c>
      <c r="D3" s="71"/>
      <c r="E3" s="72"/>
      <c r="F3" s="72" t="s">
        <v>6</v>
      </c>
      <c r="G3" s="72"/>
      <c r="H3" s="72"/>
      <c r="I3" s="72"/>
      <c r="J3" s="72"/>
      <c r="K3" s="72"/>
      <c r="M3" t="s">
        <v>22</v>
      </c>
      <c r="P3" s="72"/>
      <c r="Q3" s="72" t="s">
        <v>6</v>
      </c>
      <c r="R3" s="72"/>
      <c r="S3" s="72"/>
      <c r="T3" s="72"/>
      <c r="U3" s="72"/>
      <c r="V3" s="72"/>
    </row>
    <row r="4" spans="3:22" x14ac:dyDescent="0.3">
      <c r="C4" s="73" t="s">
        <v>19</v>
      </c>
      <c r="D4" s="73"/>
      <c r="E4" s="72"/>
      <c r="F4" s="1" t="s">
        <v>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P4" s="72"/>
      <c r="Q4" s="1" t="s">
        <v>0</v>
      </c>
      <c r="R4" s="1" t="s">
        <v>1</v>
      </c>
      <c r="S4" s="1" t="s">
        <v>2</v>
      </c>
      <c r="T4" s="1" t="s">
        <v>3</v>
      </c>
      <c r="U4" s="1" t="s">
        <v>4</v>
      </c>
      <c r="V4" s="1" t="s">
        <v>5</v>
      </c>
    </row>
    <row r="5" spans="3:22" x14ac:dyDescent="0.3">
      <c r="C5" s="73"/>
      <c r="D5" s="73"/>
      <c r="E5" s="7" t="s">
        <v>9</v>
      </c>
      <c r="F5" s="50">
        <v>55</v>
      </c>
      <c r="G5" s="50">
        <v>55</v>
      </c>
      <c r="H5" s="50">
        <v>55</v>
      </c>
      <c r="I5" s="50">
        <v>54</v>
      </c>
      <c r="J5" s="50">
        <v>53</v>
      </c>
      <c r="K5" s="50">
        <v>52</v>
      </c>
      <c r="P5" s="7" t="s">
        <v>10</v>
      </c>
      <c r="Q5" s="51">
        <v>59.385738329214341</v>
      </c>
      <c r="R5" s="51">
        <v>59.247745171706754</v>
      </c>
      <c r="S5" s="51">
        <v>59.096195293245586</v>
      </c>
      <c r="T5" s="51">
        <v>57.753667830858923</v>
      </c>
      <c r="U5" s="51">
        <v>56.780887842452088</v>
      </c>
      <c r="V5" s="51">
        <v>55.017623311489032</v>
      </c>
    </row>
    <row r="6" spans="3:22" x14ac:dyDescent="0.3">
      <c r="C6" s="73"/>
      <c r="D6" s="73"/>
      <c r="E6" s="7" t="s">
        <v>10</v>
      </c>
      <c r="F6" s="51">
        <v>59.385738329214341</v>
      </c>
      <c r="G6" s="51">
        <v>59.247745171706754</v>
      </c>
      <c r="H6" s="51">
        <v>59.096195293245586</v>
      </c>
      <c r="I6" s="51">
        <v>57.753667830858923</v>
      </c>
      <c r="J6" s="51">
        <v>56.780887842452088</v>
      </c>
      <c r="K6" s="51">
        <v>55.017623311489032</v>
      </c>
      <c r="M6" s="20">
        <f>CORREL(F6:K6,F7:K7)</f>
        <v>-0.9686258939614063</v>
      </c>
      <c r="P6" s="7" t="s">
        <v>9</v>
      </c>
      <c r="Q6" s="50">
        <v>55</v>
      </c>
      <c r="R6" s="50">
        <v>55</v>
      </c>
      <c r="S6" s="50">
        <v>55</v>
      </c>
      <c r="T6" s="50">
        <v>54</v>
      </c>
      <c r="U6" s="50">
        <v>53</v>
      </c>
      <c r="V6" s="50">
        <v>52</v>
      </c>
    </row>
    <row r="7" spans="3:22" x14ac:dyDescent="0.3">
      <c r="C7" s="73"/>
      <c r="D7" s="73"/>
      <c r="E7" s="7" t="s">
        <v>13</v>
      </c>
      <c r="F7" s="52">
        <v>7.4929438435286198</v>
      </c>
      <c r="G7" s="52">
        <v>7.7209003911681391</v>
      </c>
      <c r="H7" s="52">
        <v>8.0091091908514542</v>
      </c>
      <c r="I7" s="52">
        <v>11.249698320311065</v>
      </c>
      <c r="J7" s="52">
        <v>14.930335854599999</v>
      </c>
      <c r="K7" s="52">
        <v>15.843164650788898</v>
      </c>
    </row>
    <row r="8" spans="3:22" x14ac:dyDescent="0.3">
      <c r="C8" s="73"/>
      <c r="D8" s="73"/>
      <c r="E8" s="7" t="s">
        <v>14</v>
      </c>
      <c r="F8" s="50">
        <v>1394</v>
      </c>
      <c r="G8" s="50">
        <v>1790</v>
      </c>
      <c r="H8" s="50">
        <v>2360</v>
      </c>
      <c r="I8" s="50">
        <v>4170</v>
      </c>
      <c r="J8" s="50">
        <v>6734</v>
      </c>
      <c r="K8" s="50">
        <v>4995</v>
      </c>
    </row>
    <row r="9" spans="3:22" x14ac:dyDescent="0.3">
      <c r="C9" s="73"/>
      <c r="D9" s="73"/>
      <c r="E9" s="7" t="s">
        <v>11</v>
      </c>
      <c r="F9" s="51">
        <f>F8/5</f>
        <v>278.8</v>
      </c>
      <c r="G9" s="50">
        <f>G8/5</f>
        <v>358</v>
      </c>
      <c r="H9" s="50">
        <f>H8/5</f>
        <v>472</v>
      </c>
      <c r="I9" s="50">
        <f>I8/5</f>
        <v>834</v>
      </c>
      <c r="J9" s="51">
        <f>J8/5</f>
        <v>1346.8</v>
      </c>
      <c r="K9" s="50">
        <f>K8/3</f>
        <v>1665</v>
      </c>
    </row>
    <row r="10" spans="3:22" x14ac:dyDescent="0.3">
      <c r="C10" s="73"/>
      <c r="D10" s="73"/>
      <c r="E10" s="7" t="s">
        <v>12</v>
      </c>
      <c r="F10" s="50">
        <v>24563438</v>
      </c>
      <c r="G10" s="53">
        <v>30364842</v>
      </c>
      <c r="H10" s="53">
        <v>36360806</v>
      </c>
      <c r="I10" s="53">
        <v>40542555</v>
      </c>
      <c r="J10" s="53">
        <v>45083087</v>
      </c>
      <c r="K10" s="53">
        <v>29438550</v>
      </c>
    </row>
    <row r="11" spans="3:22" x14ac:dyDescent="0.3">
      <c r="F11" s="20"/>
      <c r="G11" s="20"/>
      <c r="H11" s="20"/>
      <c r="I11" s="20"/>
      <c r="J11" s="20"/>
      <c r="K11" s="20"/>
    </row>
    <row r="13" spans="3:22" x14ac:dyDescent="0.3">
      <c r="C13" s="71" t="s">
        <v>18</v>
      </c>
      <c r="D13" s="71"/>
      <c r="E13" s="72"/>
      <c r="F13" s="86" t="s">
        <v>6</v>
      </c>
      <c r="G13" s="87"/>
      <c r="H13" s="87"/>
      <c r="I13" s="87"/>
      <c r="J13" s="87"/>
      <c r="K13" s="87"/>
      <c r="L13" s="88"/>
      <c r="P13" s="86" t="s">
        <v>6</v>
      </c>
      <c r="Q13" s="87"/>
      <c r="R13" s="87"/>
      <c r="S13" s="87"/>
      <c r="T13" s="87"/>
      <c r="U13" s="87"/>
      <c r="V13" s="88"/>
    </row>
    <row r="14" spans="3:22" x14ac:dyDescent="0.3">
      <c r="C14" s="73" t="s">
        <v>20</v>
      </c>
      <c r="D14" s="73"/>
      <c r="E14" s="72"/>
      <c r="F14" s="12" t="s">
        <v>15</v>
      </c>
      <c r="G14" s="1" t="s">
        <v>0</v>
      </c>
      <c r="H14" s="1" t="s">
        <v>1</v>
      </c>
      <c r="I14" s="1" t="s">
        <v>2</v>
      </c>
      <c r="J14" s="1" t="s">
        <v>3</v>
      </c>
      <c r="K14" s="1" t="s">
        <v>4</v>
      </c>
      <c r="L14" s="1" t="s">
        <v>16</v>
      </c>
      <c r="O14" s="22"/>
      <c r="P14" s="12" t="s">
        <v>15</v>
      </c>
      <c r="Q14" s="1" t="s">
        <v>0</v>
      </c>
      <c r="R14" s="1" t="s">
        <v>1</v>
      </c>
      <c r="S14" s="1" t="s">
        <v>2</v>
      </c>
      <c r="T14" s="1" t="s">
        <v>3</v>
      </c>
      <c r="U14" s="1" t="s">
        <v>4</v>
      </c>
      <c r="V14" s="1" t="s">
        <v>16</v>
      </c>
    </row>
    <row r="15" spans="3:22" x14ac:dyDescent="0.3">
      <c r="C15" s="73"/>
      <c r="D15" s="73"/>
      <c r="E15" s="7" t="s">
        <v>9</v>
      </c>
      <c r="F15" s="50">
        <v>57</v>
      </c>
      <c r="G15" s="50">
        <v>57</v>
      </c>
      <c r="H15" s="50">
        <v>58</v>
      </c>
      <c r="I15" s="50">
        <v>58</v>
      </c>
      <c r="J15" s="50">
        <v>56</v>
      </c>
      <c r="K15" s="50">
        <v>55</v>
      </c>
      <c r="L15" s="50">
        <v>56</v>
      </c>
      <c r="O15" s="7" t="s">
        <v>10</v>
      </c>
      <c r="P15" s="51">
        <v>60.432031342337616</v>
      </c>
      <c r="Q15" s="51">
        <v>60.831708673106355</v>
      </c>
      <c r="R15" s="51">
        <v>61.334422998033681</v>
      </c>
      <c r="S15" s="51">
        <v>61.135956954696944</v>
      </c>
      <c r="T15" s="51">
        <v>59.479217720159809</v>
      </c>
      <c r="U15" s="51">
        <v>58.332332448618352</v>
      </c>
      <c r="V15" s="51">
        <v>57.732080691579846</v>
      </c>
    </row>
    <row r="16" spans="3:22" x14ac:dyDescent="0.3">
      <c r="C16" s="73"/>
      <c r="D16" s="73"/>
      <c r="E16" s="7" t="s">
        <v>10</v>
      </c>
      <c r="F16" s="51">
        <v>60.432031342337616</v>
      </c>
      <c r="G16" s="51">
        <v>60.831708673106355</v>
      </c>
      <c r="H16" s="51">
        <v>61.334422998033681</v>
      </c>
      <c r="I16" s="51">
        <v>61.135956954696944</v>
      </c>
      <c r="J16" s="51">
        <v>59.479217720159809</v>
      </c>
      <c r="K16" s="51">
        <v>58.332332448618352</v>
      </c>
      <c r="L16" s="51">
        <v>57.732080691579846</v>
      </c>
      <c r="N16" s="20">
        <f>CORREL(F16:L16,F17:L17)</f>
        <v>-0.95547474473680338</v>
      </c>
      <c r="O16" s="7" t="s">
        <v>13</v>
      </c>
      <c r="P16" s="52">
        <v>5.1119710143249399</v>
      </c>
      <c r="Q16" s="52">
        <v>4.8294912336889295</v>
      </c>
      <c r="R16" s="52">
        <v>4.3995216623612281</v>
      </c>
      <c r="S16" s="52">
        <v>4.5895345426796768</v>
      </c>
      <c r="T16" s="52">
        <v>5.9227397584887598</v>
      </c>
      <c r="U16" s="54">
        <v>7.2246228755449993</v>
      </c>
      <c r="V16" s="52">
        <v>9.6521581476929832</v>
      </c>
    </row>
    <row r="17" spans="3:23" x14ac:dyDescent="0.3">
      <c r="C17" s="73"/>
      <c r="D17" s="73"/>
      <c r="E17" s="7" t="s">
        <v>13</v>
      </c>
      <c r="F17" s="52">
        <v>5.1119710143249399</v>
      </c>
      <c r="G17" s="52">
        <v>4.8294912336889295</v>
      </c>
      <c r="H17" s="52">
        <v>4.3995216623612281</v>
      </c>
      <c r="I17" s="52">
        <v>4.5895345426796768</v>
      </c>
      <c r="J17" s="52">
        <v>5.9227397584887598</v>
      </c>
      <c r="K17" s="54">
        <v>7.2246228755449993</v>
      </c>
      <c r="L17" s="52">
        <v>9.6521581476929832</v>
      </c>
      <c r="O17" s="22"/>
    </row>
    <row r="18" spans="3:23" x14ac:dyDescent="0.3">
      <c r="C18" s="73"/>
      <c r="D18" s="73"/>
      <c r="E18" s="7" t="s">
        <v>14</v>
      </c>
      <c r="F18" s="50">
        <v>396</v>
      </c>
      <c r="G18" s="50">
        <v>451</v>
      </c>
      <c r="H18" s="50">
        <v>494</v>
      </c>
      <c r="I18" s="50">
        <v>646</v>
      </c>
      <c r="J18" s="50">
        <v>1086</v>
      </c>
      <c r="K18" s="50">
        <v>1671</v>
      </c>
      <c r="L18" s="50">
        <v>2162</v>
      </c>
      <c r="O18" s="22"/>
    </row>
    <row r="19" spans="3:23" x14ac:dyDescent="0.3">
      <c r="C19" s="73"/>
      <c r="D19" s="73"/>
      <c r="E19" s="7" t="s">
        <v>11</v>
      </c>
      <c r="F19" s="50">
        <f>F18/5</f>
        <v>79.2</v>
      </c>
      <c r="G19" s="50">
        <f t="shared" ref="G19" si="0">G18/5</f>
        <v>90.2</v>
      </c>
      <c r="H19" s="50">
        <f t="shared" ref="H19" si="1">H18/5</f>
        <v>98.8</v>
      </c>
      <c r="I19" s="50">
        <f t="shared" ref="I19" si="2">I18/5</f>
        <v>129.19999999999999</v>
      </c>
      <c r="J19" s="50">
        <f t="shared" ref="J19" si="3">J18/5</f>
        <v>217.2</v>
      </c>
      <c r="K19" s="50">
        <f t="shared" ref="K19" si="4">K18/5</f>
        <v>334.2</v>
      </c>
      <c r="L19" s="50">
        <f>L18/4</f>
        <v>540.5</v>
      </c>
      <c r="O19" s="22"/>
    </row>
    <row r="20" spans="3:23" x14ac:dyDescent="0.3">
      <c r="C20" s="73"/>
      <c r="D20" s="73"/>
      <c r="E20" s="7" t="s">
        <v>12</v>
      </c>
      <c r="F20" s="55">
        <v>9951481</v>
      </c>
      <c r="G20" s="55">
        <v>11446640</v>
      </c>
      <c r="H20" s="55">
        <v>13391085</v>
      </c>
      <c r="I20" s="55">
        <v>15675396</v>
      </c>
      <c r="J20" s="53">
        <v>18566184</v>
      </c>
      <c r="K20" s="53">
        <v>22017283</v>
      </c>
      <c r="L20" s="55">
        <v>20525875</v>
      </c>
    </row>
    <row r="23" spans="3:23" x14ac:dyDescent="0.3">
      <c r="C23" s="71" t="s">
        <v>18</v>
      </c>
      <c r="D23" s="71"/>
      <c r="E23" s="72"/>
      <c r="F23" s="86" t="s">
        <v>6</v>
      </c>
      <c r="G23" s="87"/>
      <c r="H23" s="87"/>
      <c r="I23" s="87"/>
      <c r="J23" s="87"/>
      <c r="K23" s="87"/>
      <c r="L23" s="88"/>
    </row>
    <row r="24" spans="3:23" x14ac:dyDescent="0.3">
      <c r="C24" s="73" t="s">
        <v>21</v>
      </c>
      <c r="D24" s="73"/>
      <c r="E24" s="72"/>
      <c r="F24" s="12" t="s">
        <v>15</v>
      </c>
      <c r="G24" s="1" t="s">
        <v>0</v>
      </c>
      <c r="H24" s="1" t="s">
        <v>1</v>
      </c>
      <c r="I24" s="1" t="s">
        <v>2</v>
      </c>
      <c r="J24" s="1" t="s">
        <v>3</v>
      </c>
      <c r="K24" s="1" t="s">
        <v>4</v>
      </c>
      <c r="L24" s="1" t="s">
        <v>16</v>
      </c>
      <c r="O24" s="22"/>
      <c r="P24" s="72"/>
      <c r="Q24" s="86" t="s">
        <v>6</v>
      </c>
      <c r="R24" s="87"/>
      <c r="S24" s="87"/>
      <c r="T24" s="87"/>
      <c r="U24" s="87"/>
      <c r="V24" s="87"/>
      <c r="W24" s="88"/>
    </row>
    <row r="25" spans="3:23" x14ac:dyDescent="0.3">
      <c r="C25" s="73"/>
      <c r="D25" s="73"/>
      <c r="E25" s="7" t="s">
        <v>9</v>
      </c>
      <c r="F25" s="50">
        <v>55</v>
      </c>
      <c r="G25" s="50">
        <v>57</v>
      </c>
      <c r="H25" s="50">
        <v>58</v>
      </c>
      <c r="I25" s="50">
        <v>55</v>
      </c>
      <c r="J25" s="50">
        <v>55</v>
      </c>
      <c r="K25" s="50">
        <v>52</v>
      </c>
      <c r="L25" s="50">
        <v>52</v>
      </c>
      <c r="O25" s="22"/>
      <c r="P25" s="72"/>
      <c r="Q25" s="12" t="s">
        <v>15</v>
      </c>
      <c r="R25" s="1" t="s">
        <v>0</v>
      </c>
      <c r="S25" s="1" t="s">
        <v>1</v>
      </c>
      <c r="T25" s="1" t="s">
        <v>2</v>
      </c>
      <c r="U25" s="1" t="s">
        <v>3</v>
      </c>
      <c r="V25" s="1" t="s">
        <v>4</v>
      </c>
      <c r="W25" s="1" t="s">
        <v>16</v>
      </c>
    </row>
    <row r="26" spans="3:23" x14ac:dyDescent="0.3">
      <c r="C26" s="73"/>
      <c r="D26" s="73"/>
      <c r="E26" s="7" t="s">
        <v>10</v>
      </c>
      <c r="F26" s="51">
        <v>59</v>
      </c>
      <c r="G26" s="51">
        <v>60</v>
      </c>
      <c r="H26" s="51">
        <v>60</v>
      </c>
      <c r="I26" s="51">
        <v>58</v>
      </c>
      <c r="J26" s="51">
        <v>57</v>
      </c>
      <c r="K26" s="51">
        <v>53</v>
      </c>
      <c r="L26" s="51">
        <v>52</v>
      </c>
      <c r="O26" s="22"/>
      <c r="P26" s="7" t="s">
        <v>10</v>
      </c>
      <c r="Q26" s="51">
        <v>59</v>
      </c>
      <c r="R26" s="51">
        <v>60</v>
      </c>
      <c r="S26" s="51">
        <v>60</v>
      </c>
      <c r="T26" s="51">
        <v>58</v>
      </c>
      <c r="U26" s="51">
        <v>57</v>
      </c>
      <c r="V26" s="51">
        <v>53</v>
      </c>
      <c r="W26" s="51">
        <v>52</v>
      </c>
    </row>
    <row r="27" spans="3:23" x14ac:dyDescent="0.3">
      <c r="C27" s="73"/>
      <c r="D27" s="73"/>
      <c r="E27" s="7" t="s">
        <v>13</v>
      </c>
      <c r="F27" s="48">
        <v>9.5</v>
      </c>
      <c r="G27" s="52">
        <v>8.7552555395601193</v>
      </c>
      <c r="H27" s="52">
        <v>8.5738443313349197</v>
      </c>
      <c r="I27" s="52">
        <v>8.8962704317208665</v>
      </c>
      <c r="J27" s="52">
        <v>10.273665805209543</v>
      </c>
      <c r="K27" s="54">
        <v>12.861090032935731</v>
      </c>
      <c r="L27" s="52">
        <v>15.059218566781132</v>
      </c>
      <c r="N27">
        <f>CORREL(F26:L26,F27:L27)</f>
        <v>-0.96665302000535569</v>
      </c>
      <c r="O27" s="22"/>
      <c r="P27" s="7" t="s">
        <v>13</v>
      </c>
      <c r="Q27" s="48">
        <v>9.5</v>
      </c>
      <c r="R27" s="52">
        <v>8.7552555395601193</v>
      </c>
      <c r="S27" s="52">
        <v>8.5738443313349197</v>
      </c>
      <c r="T27" s="52">
        <v>8.8962704317208665</v>
      </c>
      <c r="U27" s="52">
        <v>10.273665805209543</v>
      </c>
      <c r="V27" s="54">
        <v>12.861090032935731</v>
      </c>
      <c r="W27" s="52">
        <v>15.059218566781132</v>
      </c>
    </row>
    <row r="28" spans="3:23" x14ac:dyDescent="0.3">
      <c r="C28" s="73"/>
      <c r="D28" s="73"/>
      <c r="E28" s="7" t="s">
        <v>14</v>
      </c>
      <c r="F28" s="50">
        <v>64</v>
      </c>
      <c r="G28" s="50">
        <v>839</v>
      </c>
      <c r="H28" s="50">
        <v>933</v>
      </c>
      <c r="I28" s="50">
        <v>1112</v>
      </c>
      <c r="J28" s="50">
        <v>1426</v>
      </c>
      <c r="K28" s="50">
        <v>1972</v>
      </c>
      <c r="L28" s="50">
        <v>2001</v>
      </c>
      <c r="O28" s="22"/>
    </row>
    <row r="29" spans="3:23" x14ac:dyDescent="0.3">
      <c r="C29" s="73"/>
      <c r="D29" s="73"/>
      <c r="E29" s="7" t="s">
        <v>11</v>
      </c>
      <c r="F29" s="50">
        <f>F28/5</f>
        <v>12.8</v>
      </c>
      <c r="G29" s="50">
        <f t="shared" ref="G29" si="5">G28/5</f>
        <v>167.8</v>
      </c>
      <c r="H29" s="50">
        <f t="shared" ref="H29" si="6">H28/5</f>
        <v>186.6</v>
      </c>
      <c r="I29" s="50">
        <f t="shared" ref="I29" si="7">I28/5</f>
        <v>222.4</v>
      </c>
      <c r="J29" s="50">
        <f t="shared" ref="J29" si="8">J28/5</f>
        <v>285.2</v>
      </c>
      <c r="K29" s="50">
        <f t="shared" ref="K29" si="9">K28/5</f>
        <v>394.4</v>
      </c>
      <c r="L29" s="50">
        <f>L28/4</f>
        <v>500.25</v>
      </c>
      <c r="O29" s="22"/>
    </row>
    <row r="30" spans="3:23" x14ac:dyDescent="0.3">
      <c r="C30" s="73"/>
      <c r="D30" s="73"/>
      <c r="E30" s="7" t="s">
        <v>12</v>
      </c>
      <c r="F30" s="55">
        <v>9370944</v>
      </c>
      <c r="G30" s="55">
        <v>10074451</v>
      </c>
      <c r="H30" s="56">
        <v>10656255</v>
      </c>
      <c r="I30" s="56">
        <v>11164995</v>
      </c>
      <c r="J30" s="53">
        <v>11462838</v>
      </c>
      <c r="K30" s="53">
        <v>11759331</v>
      </c>
      <c r="L30" s="56">
        <v>9626085</v>
      </c>
    </row>
    <row r="33" spans="3:23" x14ac:dyDescent="0.3">
      <c r="C33" s="71" t="s">
        <v>18</v>
      </c>
      <c r="D33" s="71"/>
      <c r="E33" s="72"/>
      <c r="F33" s="86" t="s">
        <v>6</v>
      </c>
      <c r="G33" s="87"/>
      <c r="H33" s="87"/>
      <c r="I33" s="87"/>
      <c r="J33" s="87"/>
      <c r="K33" s="87"/>
      <c r="L33" s="88"/>
    </row>
    <row r="34" spans="3:23" x14ac:dyDescent="0.3">
      <c r="C34" s="73" t="s">
        <v>23</v>
      </c>
      <c r="D34" s="73"/>
      <c r="E34" s="72"/>
      <c r="F34" s="12" t="s">
        <v>15</v>
      </c>
      <c r="G34" s="1" t="s">
        <v>0</v>
      </c>
      <c r="H34" s="1" t="s">
        <v>1</v>
      </c>
      <c r="I34" s="1" t="s">
        <v>2</v>
      </c>
      <c r="J34" s="1" t="s">
        <v>3</v>
      </c>
      <c r="K34" s="1" t="s">
        <v>4</v>
      </c>
      <c r="L34" s="1" t="s">
        <v>16</v>
      </c>
      <c r="P34" s="72"/>
      <c r="Q34" s="86" t="s">
        <v>6</v>
      </c>
      <c r="R34" s="87"/>
      <c r="S34" s="87"/>
      <c r="T34" s="87"/>
      <c r="U34" s="87"/>
      <c r="V34" s="87"/>
      <c r="W34" s="88"/>
    </row>
    <row r="35" spans="3:23" x14ac:dyDescent="0.3">
      <c r="C35" s="73"/>
      <c r="D35" s="73"/>
      <c r="E35" s="7" t="s">
        <v>9</v>
      </c>
      <c r="F35" s="50">
        <v>54</v>
      </c>
      <c r="G35" s="50">
        <v>54</v>
      </c>
      <c r="H35" s="50">
        <v>55</v>
      </c>
      <c r="I35" s="50">
        <v>54</v>
      </c>
      <c r="J35" s="50">
        <v>53</v>
      </c>
      <c r="K35" s="50">
        <v>54</v>
      </c>
      <c r="L35" s="50">
        <v>54</v>
      </c>
      <c r="P35" s="72"/>
      <c r="Q35" s="12" t="s">
        <v>15</v>
      </c>
      <c r="R35" s="1" t="s">
        <v>0</v>
      </c>
      <c r="S35" s="1" t="s">
        <v>1</v>
      </c>
      <c r="T35" s="1" t="s">
        <v>2</v>
      </c>
      <c r="U35" s="1" t="s">
        <v>3</v>
      </c>
      <c r="V35" s="1" t="s">
        <v>4</v>
      </c>
      <c r="W35" s="1" t="s">
        <v>16</v>
      </c>
    </row>
    <row r="36" spans="3:23" x14ac:dyDescent="0.3">
      <c r="C36" s="73"/>
      <c r="D36" s="73"/>
      <c r="E36" s="7" t="s">
        <v>10</v>
      </c>
      <c r="F36" s="51">
        <v>60.432031342337616</v>
      </c>
      <c r="G36" s="51">
        <v>60.831708673106355</v>
      </c>
      <c r="H36" s="51">
        <v>61.334422998033681</v>
      </c>
      <c r="I36" s="51">
        <v>61.135956954696944</v>
      </c>
      <c r="J36" s="51">
        <v>59.479217720159809</v>
      </c>
      <c r="K36" s="51">
        <v>58.332332448618352</v>
      </c>
      <c r="L36" s="51">
        <v>57</v>
      </c>
      <c r="N36">
        <f>CORREL(F36:L36,F37:L37)</f>
        <v>-0.98390613927511705</v>
      </c>
      <c r="P36" s="7" t="s">
        <v>10</v>
      </c>
      <c r="Q36" s="51">
        <v>60.432031342337616</v>
      </c>
      <c r="R36" s="51">
        <v>60.831708673106355</v>
      </c>
      <c r="S36" s="51">
        <v>61.334422998033681</v>
      </c>
      <c r="T36" s="51">
        <v>61.135956954696944</v>
      </c>
      <c r="U36" s="51">
        <v>59.479217720159809</v>
      </c>
      <c r="V36" s="51">
        <v>58.332332448618352</v>
      </c>
      <c r="W36" s="51">
        <v>57</v>
      </c>
    </row>
    <row r="37" spans="3:23" x14ac:dyDescent="0.3">
      <c r="C37" s="73"/>
      <c r="D37" s="73"/>
      <c r="E37" s="7" t="s">
        <v>13</v>
      </c>
      <c r="F37" s="47">
        <v>9.12013833966469</v>
      </c>
      <c r="G37" s="57">
        <v>8.7894444101139033</v>
      </c>
      <c r="H37" s="57">
        <v>8.2843281348268611</v>
      </c>
      <c r="I37" s="57">
        <v>8.9650224375689778</v>
      </c>
      <c r="J37" s="57">
        <v>9.6747727812005895</v>
      </c>
      <c r="K37" s="54">
        <v>11.534591163592413</v>
      </c>
      <c r="L37" s="57">
        <v>12.789583734379075</v>
      </c>
      <c r="P37" s="7" t="s">
        <v>13</v>
      </c>
      <c r="Q37" s="47">
        <v>9.12013833966469</v>
      </c>
      <c r="R37" s="57">
        <v>8.7894444101139033</v>
      </c>
      <c r="S37" s="57">
        <v>8.2843281348268611</v>
      </c>
      <c r="T37" s="57">
        <v>8.9650224375689778</v>
      </c>
      <c r="U37" s="57">
        <v>9.6747727812005895</v>
      </c>
      <c r="V37" s="54">
        <v>11.534591163592413</v>
      </c>
      <c r="W37" s="57">
        <v>12.789583734379075</v>
      </c>
    </row>
    <row r="38" spans="3:23" x14ac:dyDescent="0.3">
      <c r="C38" s="73"/>
      <c r="D38" s="73"/>
      <c r="E38" s="7" t="s">
        <v>14</v>
      </c>
      <c r="F38" s="44">
        <v>1901</v>
      </c>
      <c r="G38" s="50">
        <v>2101</v>
      </c>
      <c r="H38" s="50">
        <v>2265</v>
      </c>
      <c r="I38" s="50">
        <v>2841</v>
      </c>
      <c r="J38" s="50">
        <v>3466</v>
      </c>
      <c r="K38" s="50">
        <v>4541</v>
      </c>
      <c r="L38" s="50">
        <v>4351</v>
      </c>
    </row>
    <row r="39" spans="3:23" x14ac:dyDescent="0.3">
      <c r="C39" s="73"/>
      <c r="D39" s="73"/>
      <c r="E39" s="7" t="s">
        <v>11</v>
      </c>
      <c r="F39" s="51">
        <f>F38/5</f>
        <v>380.2</v>
      </c>
      <c r="G39" s="51">
        <f t="shared" ref="G39:K39" si="10">G38/5</f>
        <v>420.2</v>
      </c>
      <c r="H39" s="51">
        <f t="shared" si="10"/>
        <v>453</v>
      </c>
      <c r="I39" s="51">
        <f t="shared" si="10"/>
        <v>568.20000000000005</v>
      </c>
      <c r="J39" s="51">
        <f t="shared" si="10"/>
        <v>693.2</v>
      </c>
      <c r="K39" s="51">
        <f t="shared" si="10"/>
        <v>908.2</v>
      </c>
      <c r="L39" s="51">
        <f>L38/4</f>
        <v>1087.75</v>
      </c>
    </row>
    <row r="40" spans="3:23" x14ac:dyDescent="0.3">
      <c r="C40" s="73"/>
      <c r="D40" s="73"/>
      <c r="E40" s="7" t="s">
        <v>12</v>
      </c>
      <c r="F40" s="55">
        <v>25751371</v>
      </c>
      <c r="G40" s="55">
        <v>28033039</v>
      </c>
      <c r="H40" s="56">
        <v>30854203</v>
      </c>
      <c r="I40" s="56">
        <v>33085355</v>
      </c>
      <c r="J40" s="53">
        <v>33402988</v>
      </c>
      <c r="K40" s="53">
        <v>33644225</v>
      </c>
      <c r="L40" s="56">
        <v>27090243</v>
      </c>
    </row>
    <row r="43" spans="3:23" x14ac:dyDescent="0.3">
      <c r="C43" s="71" t="s">
        <v>18</v>
      </c>
      <c r="D43" s="71"/>
      <c r="E43" s="72"/>
      <c r="F43" s="72" t="s">
        <v>6</v>
      </c>
      <c r="G43" s="72"/>
      <c r="H43" s="72"/>
      <c r="I43" s="72"/>
      <c r="J43" s="72"/>
      <c r="K43" s="72"/>
      <c r="P43" s="72"/>
      <c r="Q43" s="72" t="s">
        <v>6</v>
      </c>
      <c r="R43" s="72"/>
      <c r="S43" s="72"/>
      <c r="T43" s="72"/>
      <c r="U43" s="72"/>
      <c r="V43" s="72"/>
    </row>
    <row r="44" spans="3:23" x14ac:dyDescent="0.3">
      <c r="C44" s="73" t="s">
        <v>24</v>
      </c>
      <c r="D44" s="73"/>
      <c r="E44" s="72"/>
      <c r="F44" s="1" t="s">
        <v>0</v>
      </c>
      <c r="G44" s="1" t="s">
        <v>1</v>
      </c>
      <c r="H44" s="1" t="s">
        <v>2</v>
      </c>
      <c r="I44" s="1" t="s">
        <v>3</v>
      </c>
      <c r="J44" s="1" t="s">
        <v>4</v>
      </c>
      <c r="K44" s="1" t="s">
        <v>25</v>
      </c>
      <c r="P44" s="72"/>
      <c r="Q44" s="1" t="s">
        <v>0</v>
      </c>
      <c r="R44" s="1" t="s">
        <v>1</v>
      </c>
      <c r="S44" s="1" t="s">
        <v>2</v>
      </c>
      <c r="T44" s="1" t="s">
        <v>3</v>
      </c>
      <c r="U44" s="1" t="s">
        <v>4</v>
      </c>
      <c r="V44" s="1" t="s">
        <v>25</v>
      </c>
    </row>
    <row r="45" spans="3:23" x14ac:dyDescent="0.3">
      <c r="C45" s="73"/>
      <c r="D45" s="73"/>
      <c r="E45" s="7" t="s">
        <v>9</v>
      </c>
      <c r="F45" s="3">
        <v>60</v>
      </c>
      <c r="G45" s="3">
        <v>55</v>
      </c>
      <c r="H45" s="3">
        <v>55</v>
      </c>
      <c r="I45" s="3">
        <v>55</v>
      </c>
      <c r="J45" s="3">
        <v>58</v>
      </c>
      <c r="K45" s="3">
        <v>55</v>
      </c>
      <c r="P45" s="7" t="s">
        <v>10</v>
      </c>
      <c r="Q45" s="41">
        <v>59.71919127547357</v>
      </c>
      <c r="R45" s="41">
        <v>54.600867125744223</v>
      </c>
      <c r="S45" s="41">
        <v>55.252553653210562</v>
      </c>
      <c r="T45" s="41">
        <v>52.587176338889179</v>
      </c>
      <c r="U45" s="41">
        <v>52.846171753296339</v>
      </c>
      <c r="V45" s="41">
        <v>51.849437035326858</v>
      </c>
    </row>
    <row r="46" spans="3:23" x14ac:dyDescent="0.3">
      <c r="C46" s="73"/>
      <c r="D46" s="73"/>
      <c r="E46" s="7" t="s">
        <v>10</v>
      </c>
      <c r="F46" s="41">
        <v>59.71919127547357</v>
      </c>
      <c r="G46" s="41">
        <v>54.600867125744223</v>
      </c>
      <c r="H46" s="41">
        <v>55.252553653210562</v>
      </c>
      <c r="I46" s="41">
        <v>52.587176338889179</v>
      </c>
      <c r="J46" s="41">
        <v>52.846171753296339</v>
      </c>
      <c r="K46" s="41">
        <v>51.849437035326858</v>
      </c>
      <c r="P46" s="7" t="s">
        <v>13</v>
      </c>
      <c r="Q46" s="42">
        <v>3.7856262039712729</v>
      </c>
      <c r="R46" s="42">
        <v>3.5986298639212886</v>
      </c>
      <c r="S46" s="42">
        <v>4.0794051783375931</v>
      </c>
      <c r="T46" s="20">
        <v>4.24396472704926</v>
      </c>
      <c r="U46" s="42">
        <v>6.0500073191410406</v>
      </c>
      <c r="V46" s="42">
        <v>6.8299670137098003</v>
      </c>
    </row>
    <row r="47" spans="3:23" x14ac:dyDescent="0.3">
      <c r="C47" s="73"/>
      <c r="D47" s="73"/>
      <c r="E47" s="7" t="s">
        <v>13</v>
      </c>
      <c r="F47" s="42">
        <v>3.7856262039712729</v>
      </c>
      <c r="G47" s="42">
        <v>3.5986298639212886</v>
      </c>
      <c r="H47" s="42">
        <v>4.0794051783375931</v>
      </c>
      <c r="I47" s="20">
        <v>4.24396472704926</v>
      </c>
      <c r="J47" s="42">
        <v>6.0500073191410406</v>
      </c>
      <c r="K47" s="42">
        <v>6.8299670137098003</v>
      </c>
      <c r="M47">
        <f>CORREL(F46:K46,F47:K47)</f>
        <v>-0.64178743974929509</v>
      </c>
    </row>
    <row r="48" spans="3:23" x14ac:dyDescent="0.3">
      <c r="C48" s="73"/>
      <c r="D48" s="73"/>
      <c r="E48" s="7" t="s">
        <v>14</v>
      </c>
      <c r="F48">
        <v>45</v>
      </c>
      <c r="G48" s="3">
        <v>46</v>
      </c>
      <c r="H48" s="3">
        <v>51</v>
      </c>
      <c r="I48" s="3">
        <v>60</v>
      </c>
      <c r="J48" s="3">
        <v>96</v>
      </c>
      <c r="K48" s="3">
        <v>113</v>
      </c>
    </row>
    <row r="49" spans="3:22" x14ac:dyDescent="0.3">
      <c r="C49" s="73"/>
      <c r="D49" s="73"/>
      <c r="E49" s="7" t="s">
        <v>11</v>
      </c>
      <c r="F49" s="41">
        <f>F48/5</f>
        <v>9</v>
      </c>
      <c r="G49" s="41">
        <f t="shared" ref="G49:J49" si="11">G48/5</f>
        <v>9.1999999999999993</v>
      </c>
      <c r="H49" s="41">
        <f t="shared" si="11"/>
        <v>10.199999999999999</v>
      </c>
      <c r="I49" s="41">
        <f t="shared" si="11"/>
        <v>12</v>
      </c>
      <c r="J49" s="41">
        <f t="shared" si="11"/>
        <v>19.2</v>
      </c>
      <c r="K49" s="41">
        <f>K48/5</f>
        <v>22.6</v>
      </c>
    </row>
    <row r="50" spans="3:22" x14ac:dyDescent="0.3">
      <c r="C50" s="73"/>
      <c r="D50" s="73"/>
      <c r="E50" s="7" t="s">
        <v>12</v>
      </c>
      <c r="F50" s="3">
        <v>1168684</v>
      </c>
      <c r="G50" s="43">
        <v>1233046</v>
      </c>
      <c r="H50" s="43">
        <v>1196000</v>
      </c>
      <c r="I50" s="43">
        <v>1240935</v>
      </c>
      <c r="J50" s="43">
        <v>1316169</v>
      </c>
      <c r="K50" s="43">
        <v>1395971</v>
      </c>
    </row>
    <row r="53" spans="3:22" x14ac:dyDescent="0.3">
      <c r="C53" s="71" t="s">
        <v>18</v>
      </c>
      <c r="D53" s="71"/>
      <c r="E53" s="72"/>
      <c r="F53" s="72" t="s">
        <v>6</v>
      </c>
      <c r="G53" s="72"/>
      <c r="H53" s="72"/>
      <c r="I53" s="72"/>
      <c r="J53" s="72"/>
      <c r="K53" s="72"/>
    </row>
    <row r="54" spans="3:22" x14ac:dyDescent="0.3">
      <c r="C54" s="73" t="s">
        <v>26</v>
      </c>
      <c r="D54" s="73"/>
      <c r="E54" s="72"/>
      <c r="F54" s="1" t="s">
        <v>0</v>
      </c>
      <c r="G54" s="1" t="s">
        <v>1</v>
      </c>
      <c r="H54" s="1" t="s">
        <v>2</v>
      </c>
      <c r="I54" s="1" t="s">
        <v>3</v>
      </c>
      <c r="J54" s="1" t="s">
        <v>4</v>
      </c>
      <c r="K54" s="1" t="s">
        <v>25</v>
      </c>
      <c r="P54" s="3" t="s">
        <v>33</v>
      </c>
      <c r="Q54" s="1" t="s">
        <v>0</v>
      </c>
      <c r="R54" s="1" t="s">
        <v>1</v>
      </c>
      <c r="S54" s="1" t="s">
        <v>2</v>
      </c>
      <c r="T54" s="1" t="s">
        <v>3</v>
      </c>
      <c r="U54" s="1" t="s">
        <v>4</v>
      </c>
      <c r="V54" s="1" t="s">
        <v>25</v>
      </c>
    </row>
    <row r="55" spans="3:22" x14ac:dyDescent="0.3">
      <c r="C55" s="73"/>
      <c r="D55" s="73"/>
      <c r="E55" s="7" t="s">
        <v>9</v>
      </c>
      <c r="F55" s="7">
        <v>55</v>
      </c>
      <c r="G55" s="3">
        <v>56</v>
      </c>
      <c r="H55" s="7">
        <v>55</v>
      </c>
      <c r="I55" s="3">
        <v>50</v>
      </c>
      <c r="J55" s="3">
        <v>50</v>
      </c>
      <c r="K55" s="3">
        <v>48</v>
      </c>
      <c r="P55" s="7" t="s">
        <v>10</v>
      </c>
      <c r="Q55" s="38">
        <v>61.640647709048636</v>
      </c>
      <c r="R55" s="41">
        <v>60.229098531920407</v>
      </c>
      <c r="S55" s="38">
        <v>57.70472526077112</v>
      </c>
      <c r="T55" s="38">
        <v>54.957377093150789</v>
      </c>
      <c r="U55" s="38">
        <v>51.697553871782688</v>
      </c>
      <c r="V55" s="38">
        <v>50.438692387854026</v>
      </c>
    </row>
    <row r="56" spans="3:22" x14ac:dyDescent="0.3">
      <c r="C56" s="73"/>
      <c r="D56" s="73"/>
      <c r="E56" s="7" t="s">
        <v>10</v>
      </c>
      <c r="F56" s="38">
        <v>61.640647709048636</v>
      </c>
      <c r="G56" s="41">
        <v>60.229098531920407</v>
      </c>
      <c r="H56" s="38">
        <v>57.70472526077112</v>
      </c>
      <c r="I56" s="38">
        <v>54.957377093150789</v>
      </c>
      <c r="J56" s="38">
        <v>51.697553871782688</v>
      </c>
      <c r="K56" s="38">
        <v>50.438692387854026</v>
      </c>
      <c r="M56">
        <f>CORREL(F56:K56,F57:K57)</f>
        <v>-0.89543049758268056</v>
      </c>
      <c r="P56" s="7" t="s">
        <v>13</v>
      </c>
      <c r="Q56" s="42">
        <v>11.748572676559457</v>
      </c>
      <c r="R56" s="42">
        <v>13.866514718091835</v>
      </c>
      <c r="S56" s="42">
        <v>13.987164245959297</v>
      </c>
      <c r="T56" s="20">
        <v>15.16707601390239</v>
      </c>
      <c r="U56" s="42">
        <v>19.114918257419301</v>
      </c>
      <c r="V56" s="42">
        <v>25.735275946637724</v>
      </c>
    </row>
    <row r="57" spans="3:22" x14ac:dyDescent="0.3">
      <c r="C57" s="73"/>
      <c r="D57" s="73"/>
      <c r="E57" s="7" t="s">
        <v>13</v>
      </c>
      <c r="F57" s="42">
        <v>11.748572676559457</v>
      </c>
      <c r="G57" s="42">
        <v>13.866514718091835</v>
      </c>
      <c r="H57" s="42">
        <v>13.987164245959297</v>
      </c>
      <c r="I57" s="20">
        <v>15.16707601390239</v>
      </c>
      <c r="J57" s="42">
        <v>19.114918257419301</v>
      </c>
      <c r="K57" s="42">
        <v>25.735275946637724</v>
      </c>
    </row>
    <row r="58" spans="3:22" x14ac:dyDescent="0.3">
      <c r="C58" s="73"/>
      <c r="D58" s="73"/>
      <c r="E58" s="7" t="s">
        <v>14</v>
      </c>
      <c r="F58" s="3">
        <v>247</v>
      </c>
      <c r="G58" s="3">
        <v>371</v>
      </c>
      <c r="H58" s="3">
        <v>478</v>
      </c>
      <c r="I58" s="3">
        <v>662</v>
      </c>
      <c r="J58" s="3">
        <v>1028</v>
      </c>
      <c r="K58" s="3">
        <v>1649</v>
      </c>
    </row>
    <row r="59" spans="3:22" x14ac:dyDescent="0.3">
      <c r="C59" s="73"/>
      <c r="D59" s="73"/>
      <c r="E59" s="7" t="s">
        <v>11</v>
      </c>
      <c r="F59" s="41">
        <f>F58/5</f>
        <v>49.4</v>
      </c>
      <c r="G59" s="41">
        <f t="shared" ref="G59:K59" si="12">G58/5</f>
        <v>74.2</v>
      </c>
      <c r="H59" s="41">
        <f t="shared" si="12"/>
        <v>95.6</v>
      </c>
      <c r="I59" s="41">
        <f t="shared" si="12"/>
        <v>132.4</v>
      </c>
      <c r="J59" s="41">
        <f t="shared" si="12"/>
        <v>205.6</v>
      </c>
      <c r="K59" s="41">
        <f t="shared" si="12"/>
        <v>329.8</v>
      </c>
    </row>
    <row r="60" spans="3:22" x14ac:dyDescent="0.3">
      <c r="C60" s="73"/>
      <c r="D60" s="73"/>
      <c r="E60" s="7" t="s">
        <v>12</v>
      </c>
      <c r="F60" s="17">
        <v>2973790</v>
      </c>
      <c r="G60" s="17">
        <v>3485067</v>
      </c>
      <c r="H60" s="17">
        <v>4034976</v>
      </c>
      <c r="I60" s="17">
        <v>4564620</v>
      </c>
      <c r="J60" s="43">
        <v>5159284</v>
      </c>
      <c r="K60" s="17">
        <v>5831407</v>
      </c>
    </row>
  </sheetData>
  <mergeCells count="33">
    <mergeCell ref="P43:P44"/>
    <mergeCell ref="Q43:V43"/>
    <mergeCell ref="P3:P4"/>
    <mergeCell ref="Q3:V3"/>
    <mergeCell ref="P13:V13"/>
    <mergeCell ref="P24:P25"/>
    <mergeCell ref="Q24:W24"/>
    <mergeCell ref="P34:P35"/>
    <mergeCell ref="Q34:W34"/>
    <mergeCell ref="C33:D33"/>
    <mergeCell ref="E33:E34"/>
    <mergeCell ref="F33:L33"/>
    <mergeCell ref="C34:D40"/>
    <mergeCell ref="C23:D23"/>
    <mergeCell ref="E23:E24"/>
    <mergeCell ref="F23:L23"/>
    <mergeCell ref="C24:D30"/>
    <mergeCell ref="C3:D3"/>
    <mergeCell ref="E3:E4"/>
    <mergeCell ref="F3:K3"/>
    <mergeCell ref="C4:D10"/>
    <mergeCell ref="C13:D13"/>
    <mergeCell ref="E13:E14"/>
    <mergeCell ref="F13:L13"/>
    <mergeCell ref="C14:D20"/>
    <mergeCell ref="C43:D43"/>
    <mergeCell ref="E43:E44"/>
    <mergeCell ref="F43:K43"/>
    <mergeCell ref="C44:D50"/>
    <mergeCell ref="C53:D53"/>
    <mergeCell ref="E53:E54"/>
    <mergeCell ref="F53:K53"/>
    <mergeCell ref="C54:D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4421-75EA-4AAA-87C9-25F89DAE8DAF}">
  <dimension ref="C3:W60"/>
  <sheetViews>
    <sheetView topLeftCell="A40" workbookViewId="0">
      <selection activeCell="F56" sqref="F56:K56"/>
    </sheetView>
  </sheetViews>
  <sheetFormatPr defaultRowHeight="14.4" x14ac:dyDescent="0.3"/>
  <cols>
    <col min="5" max="5" width="17.77734375" bestFit="1" customWidth="1"/>
    <col min="6" max="11" width="9.6640625" bestFit="1" customWidth="1"/>
    <col min="12" max="12" width="12" bestFit="1" customWidth="1"/>
    <col min="14" max="14" width="17.77734375" bestFit="1" customWidth="1"/>
    <col min="16" max="16" width="17.77734375" bestFit="1" customWidth="1"/>
  </cols>
  <sheetData>
    <row r="3" spans="3:23" x14ac:dyDescent="0.3">
      <c r="C3" s="71" t="s">
        <v>18</v>
      </c>
      <c r="D3" s="71"/>
      <c r="E3" s="81"/>
      <c r="F3" s="72" t="s">
        <v>7</v>
      </c>
      <c r="G3" s="72"/>
      <c r="H3" s="72"/>
      <c r="I3" s="72"/>
      <c r="J3" s="72"/>
      <c r="K3" s="72"/>
      <c r="P3" s="81"/>
      <c r="Q3" s="72" t="s">
        <v>7</v>
      </c>
      <c r="R3" s="72"/>
      <c r="S3" s="72"/>
      <c r="T3" s="72"/>
      <c r="U3" s="72"/>
      <c r="V3" s="72"/>
    </row>
    <row r="4" spans="3:23" x14ac:dyDescent="0.3">
      <c r="C4" s="73" t="s">
        <v>19</v>
      </c>
      <c r="D4" s="73"/>
      <c r="E4" s="82"/>
      <c r="F4" s="1" t="s">
        <v>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O4" s="22"/>
      <c r="P4" s="82"/>
      <c r="Q4" s="1" t="s">
        <v>0</v>
      </c>
      <c r="R4" s="1" t="s">
        <v>1</v>
      </c>
      <c r="S4" s="1" t="s">
        <v>2</v>
      </c>
      <c r="T4" s="1" t="s">
        <v>3</v>
      </c>
      <c r="U4" s="1" t="s">
        <v>4</v>
      </c>
      <c r="V4" s="1" t="s">
        <v>5</v>
      </c>
    </row>
    <row r="5" spans="3:23" x14ac:dyDescent="0.3">
      <c r="C5" s="73"/>
      <c r="D5" s="73"/>
      <c r="E5" s="7" t="s">
        <v>9</v>
      </c>
      <c r="F5" s="50">
        <v>58</v>
      </c>
      <c r="G5" s="50">
        <v>60</v>
      </c>
      <c r="H5" s="50">
        <v>60</v>
      </c>
      <c r="I5" s="50">
        <v>60</v>
      </c>
      <c r="J5" s="50">
        <v>61</v>
      </c>
      <c r="K5" s="50">
        <v>62</v>
      </c>
      <c r="O5" s="22"/>
      <c r="P5" s="7" t="s">
        <v>10</v>
      </c>
      <c r="Q5" s="51">
        <v>61.831392033873314</v>
      </c>
      <c r="R5" s="51">
        <v>62.340396367067669</v>
      </c>
      <c r="S5" s="51">
        <v>62.613899096254492</v>
      </c>
      <c r="T5" s="51">
        <v>63.284570339734373</v>
      </c>
      <c r="U5" s="51">
        <v>63.766185060751233</v>
      </c>
      <c r="V5" s="51">
        <v>64</v>
      </c>
    </row>
    <row r="6" spans="3:23" x14ac:dyDescent="0.3">
      <c r="C6" s="73"/>
      <c r="D6" s="73"/>
      <c r="E6" s="7" t="s">
        <v>10</v>
      </c>
      <c r="F6" s="51">
        <v>61.831392033873314</v>
      </c>
      <c r="G6" s="51">
        <v>62.340396367067669</v>
      </c>
      <c r="H6" s="51">
        <v>62.613899096254492</v>
      </c>
      <c r="I6" s="51">
        <v>63.284570339734373</v>
      </c>
      <c r="J6" s="51">
        <v>63.766185060751233</v>
      </c>
      <c r="K6" s="51">
        <v>64</v>
      </c>
      <c r="M6">
        <f>CORREL(F6:K6,F7:K7)</f>
        <v>0.4165177381246114</v>
      </c>
      <c r="O6" s="22"/>
      <c r="P6" s="7" t="s">
        <v>13</v>
      </c>
      <c r="Q6" s="52">
        <v>9.5819752646478289</v>
      </c>
      <c r="R6" s="52">
        <v>9.6093565483395871</v>
      </c>
      <c r="S6" s="52">
        <v>9.9518916616615698</v>
      </c>
      <c r="T6" s="52">
        <v>6.0175889599514285</v>
      </c>
      <c r="U6" s="52">
        <v>12.441121241712001</v>
      </c>
      <c r="V6" s="46">
        <v>12.833350971679295</v>
      </c>
    </row>
    <row r="7" spans="3:23" x14ac:dyDescent="0.3">
      <c r="C7" s="73"/>
      <c r="D7" s="73"/>
      <c r="E7" s="7" t="s">
        <v>13</v>
      </c>
      <c r="F7" s="52">
        <v>9.5819752646478289</v>
      </c>
      <c r="G7" s="52">
        <v>9.6093565483395871</v>
      </c>
      <c r="H7" s="52">
        <v>9.9518916616615698</v>
      </c>
      <c r="I7" s="52">
        <v>6.0175889599514285</v>
      </c>
      <c r="J7" s="52">
        <v>12.441121241712001</v>
      </c>
      <c r="K7" s="46">
        <v>12.833350971679295</v>
      </c>
      <c r="O7" s="22"/>
      <c r="P7" s="30"/>
      <c r="Q7" s="30"/>
      <c r="R7" s="30"/>
      <c r="S7" s="30"/>
      <c r="T7" s="30"/>
      <c r="U7" s="21"/>
    </row>
    <row r="8" spans="3:23" x14ac:dyDescent="0.3">
      <c r="C8" s="73"/>
      <c r="D8" s="73"/>
      <c r="E8" s="7" t="s">
        <v>14</v>
      </c>
      <c r="F8" s="50">
        <v>1689</v>
      </c>
      <c r="G8" s="58">
        <v>2089</v>
      </c>
      <c r="H8" s="58">
        <v>2720</v>
      </c>
      <c r="I8" s="58">
        <v>3517</v>
      </c>
      <c r="J8" s="50">
        <v>5152</v>
      </c>
      <c r="K8" s="44">
        <v>3677</v>
      </c>
      <c r="O8" s="22"/>
      <c r="P8" s="16"/>
      <c r="Q8" s="16"/>
      <c r="R8" s="16"/>
      <c r="S8" s="16"/>
      <c r="T8" s="16"/>
      <c r="U8" s="16"/>
    </row>
    <row r="9" spans="3:23" x14ac:dyDescent="0.3">
      <c r="C9" s="73"/>
      <c r="D9" s="73"/>
      <c r="E9" s="7" t="s">
        <v>11</v>
      </c>
      <c r="F9" s="51">
        <f>F8/5</f>
        <v>337.8</v>
      </c>
      <c r="G9" s="51">
        <f t="shared" ref="G9" si="0">G8/5</f>
        <v>417.8</v>
      </c>
      <c r="H9" s="50">
        <f t="shared" ref="H9" si="1">H8/5</f>
        <v>544</v>
      </c>
      <c r="I9" s="50">
        <f t="shared" ref="I9" si="2">I8/5</f>
        <v>703.4</v>
      </c>
      <c r="J9" s="51">
        <f t="shared" ref="J9" si="3">J8/5</f>
        <v>1030.4000000000001</v>
      </c>
      <c r="K9" s="51">
        <f>K8/3</f>
        <v>1225.6666666666667</v>
      </c>
      <c r="O9" s="22"/>
      <c r="P9" s="23"/>
      <c r="Q9" s="23"/>
      <c r="R9" s="23"/>
      <c r="S9" s="23"/>
      <c r="T9" s="23"/>
      <c r="U9" s="23"/>
    </row>
    <row r="10" spans="3:23" x14ac:dyDescent="0.3">
      <c r="C10" s="73"/>
      <c r="D10" s="73"/>
      <c r="E10" s="7" t="s">
        <v>12</v>
      </c>
      <c r="F10" s="56">
        <v>24563438</v>
      </c>
      <c r="G10" s="56">
        <v>30364842</v>
      </c>
      <c r="H10" s="56">
        <v>36360806</v>
      </c>
      <c r="I10" s="56">
        <v>40542555</v>
      </c>
      <c r="J10" s="56">
        <v>45083087</v>
      </c>
      <c r="K10" s="56">
        <v>29438550</v>
      </c>
    </row>
    <row r="13" spans="3:23" x14ac:dyDescent="0.3">
      <c r="C13" s="71" t="s">
        <v>18</v>
      </c>
      <c r="D13" s="71"/>
      <c r="E13" s="72"/>
      <c r="F13" s="60" t="s">
        <v>17</v>
      </c>
      <c r="G13" s="61"/>
      <c r="H13" s="61"/>
      <c r="I13" s="61"/>
      <c r="J13" s="61"/>
      <c r="K13" s="61"/>
      <c r="L13" s="62"/>
    </row>
    <row r="14" spans="3:23" x14ac:dyDescent="0.3">
      <c r="C14" s="73" t="s">
        <v>20</v>
      </c>
      <c r="D14" s="73"/>
      <c r="E14" s="72"/>
      <c r="F14" s="1" t="s">
        <v>15</v>
      </c>
      <c r="G14" s="1" t="s">
        <v>0</v>
      </c>
      <c r="H14" s="1" t="s">
        <v>1</v>
      </c>
      <c r="I14" s="1" t="s">
        <v>2</v>
      </c>
      <c r="J14" s="1" t="s">
        <v>3</v>
      </c>
      <c r="K14" s="1" t="s">
        <v>4</v>
      </c>
      <c r="L14" s="1" t="s">
        <v>16</v>
      </c>
      <c r="O14" s="22"/>
      <c r="P14" s="72"/>
      <c r="Q14" s="60" t="s">
        <v>17</v>
      </c>
      <c r="R14" s="61"/>
      <c r="S14" s="61"/>
      <c r="T14" s="61"/>
      <c r="U14" s="61"/>
      <c r="V14" s="61"/>
      <c r="W14" s="62"/>
    </row>
    <row r="15" spans="3:23" x14ac:dyDescent="0.3">
      <c r="C15" s="73"/>
      <c r="D15" s="73"/>
      <c r="E15" s="7" t="s">
        <v>9</v>
      </c>
      <c r="F15" s="7">
        <v>60</v>
      </c>
      <c r="G15" s="7">
        <v>60</v>
      </c>
      <c r="H15" s="7">
        <v>61</v>
      </c>
      <c r="I15" s="7">
        <v>63</v>
      </c>
      <c r="J15" s="7">
        <v>63</v>
      </c>
      <c r="K15" s="7">
        <v>64</v>
      </c>
      <c r="L15" s="7">
        <v>64</v>
      </c>
      <c r="O15" s="22"/>
      <c r="P15" s="72"/>
      <c r="Q15" s="1" t="s">
        <v>15</v>
      </c>
      <c r="R15" s="1" t="s">
        <v>0</v>
      </c>
      <c r="S15" s="1" t="s">
        <v>1</v>
      </c>
      <c r="T15" s="1" t="s">
        <v>2</v>
      </c>
      <c r="U15" s="1" t="s">
        <v>3</v>
      </c>
      <c r="V15" s="1" t="s">
        <v>4</v>
      </c>
      <c r="W15" s="1" t="s">
        <v>16</v>
      </c>
    </row>
    <row r="16" spans="3:23" x14ac:dyDescent="0.3">
      <c r="C16" s="73"/>
      <c r="D16" s="73"/>
      <c r="E16" s="7" t="s">
        <v>10</v>
      </c>
      <c r="F16" s="38">
        <v>62.238568295546919</v>
      </c>
      <c r="G16" s="38">
        <v>63.07096615096598</v>
      </c>
      <c r="H16" s="38">
        <v>63.979261171043419</v>
      </c>
      <c r="I16" s="38">
        <v>65.336917267971685</v>
      </c>
      <c r="J16" s="38">
        <v>65.521266993572468</v>
      </c>
      <c r="K16" s="38">
        <v>65.252687436860029</v>
      </c>
      <c r="L16" s="38">
        <v>65.33717887269998</v>
      </c>
      <c r="O16" s="22"/>
      <c r="P16" s="7" t="s">
        <v>10</v>
      </c>
      <c r="Q16" s="38">
        <v>62.238568295546919</v>
      </c>
      <c r="R16" s="38">
        <v>63.07096615096598</v>
      </c>
      <c r="S16" s="38">
        <v>63.979261171043419</v>
      </c>
      <c r="T16" s="38">
        <v>65.336917267971685</v>
      </c>
      <c r="U16" s="38">
        <v>65.521266993572468</v>
      </c>
      <c r="V16" s="38">
        <v>65.252687436860029</v>
      </c>
      <c r="W16" s="38">
        <v>65.33717887269998</v>
      </c>
    </row>
    <row r="17" spans="3:23" x14ac:dyDescent="0.3">
      <c r="C17" s="73"/>
      <c r="D17" s="73"/>
      <c r="E17" s="7" t="s">
        <v>13</v>
      </c>
      <c r="F17" s="36">
        <v>7.160078696556134</v>
      </c>
      <c r="G17" s="36">
        <v>5.6478077568061922</v>
      </c>
      <c r="H17" s="36">
        <v>5.0363494699112987</v>
      </c>
      <c r="I17" s="36">
        <v>5.9718918376115475</v>
      </c>
      <c r="J17" s="36">
        <v>7.381375844695631</v>
      </c>
      <c r="K17" s="36">
        <v>9.012284134710832</v>
      </c>
      <c r="L17" s="36">
        <v>9.8254360245356995</v>
      </c>
      <c r="N17">
        <f>CORREL(F16:L16,F17:L17)</f>
        <v>0.43835264910653576</v>
      </c>
      <c r="O17" s="22"/>
      <c r="P17" s="7" t="s">
        <v>13</v>
      </c>
      <c r="Q17" s="36">
        <v>7.160078696556134</v>
      </c>
      <c r="R17" s="36">
        <v>5.6478077568061922</v>
      </c>
      <c r="S17" s="36">
        <v>5.0363494699112987</v>
      </c>
      <c r="T17" s="36">
        <v>5.9718918376115475</v>
      </c>
      <c r="U17" s="36">
        <v>7.381375844695631</v>
      </c>
      <c r="V17" s="36">
        <v>9.012284134710832</v>
      </c>
      <c r="W17" s="36">
        <v>9.8254360245356995</v>
      </c>
    </row>
    <row r="18" spans="3:23" x14ac:dyDescent="0.3">
      <c r="C18" s="73"/>
      <c r="D18" s="73"/>
      <c r="E18" s="7" t="s">
        <v>14</v>
      </c>
      <c r="F18" s="7">
        <v>535</v>
      </c>
      <c r="G18" s="7">
        <v>506</v>
      </c>
      <c r="H18" s="7">
        <v>553</v>
      </c>
      <c r="I18" s="7">
        <v>804</v>
      </c>
      <c r="J18" s="7">
        <v>1271</v>
      </c>
      <c r="K18" s="7">
        <v>1959</v>
      </c>
      <c r="L18" s="7">
        <v>2099</v>
      </c>
      <c r="O18" s="22"/>
      <c r="P18" s="16"/>
      <c r="Q18" s="16"/>
      <c r="R18" s="16"/>
      <c r="S18" s="16"/>
      <c r="T18" s="16"/>
      <c r="U18" s="16"/>
      <c r="V18" s="16"/>
    </row>
    <row r="19" spans="3:23" x14ac:dyDescent="0.3">
      <c r="C19" s="73"/>
      <c r="D19" s="73"/>
      <c r="E19" s="7" t="s">
        <v>11</v>
      </c>
      <c r="F19" s="7">
        <f>F18/5</f>
        <v>107</v>
      </c>
      <c r="G19" s="7">
        <f t="shared" ref="G19" si="4">G18/5</f>
        <v>101.2</v>
      </c>
      <c r="H19" s="7">
        <f t="shared" ref="H19" si="5">H18/5</f>
        <v>110.6</v>
      </c>
      <c r="I19" s="7">
        <f t="shared" ref="I19" si="6">I18/5</f>
        <v>160.80000000000001</v>
      </c>
      <c r="J19" s="7">
        <f t="shared" ref="J19" si="7">J18/5</f>
        <v>254.2</v>
      </c>
      <c r="K19" s="7">
        <f t="shared" ref="K19" si="8">K18/5</f>
        <v>391.8</v>
      </c>
      <c r="L19" s="7">
        <f>L18/4</f>
        <v>524.75</v>
      </c>
      <c r="O19" s="22"/>
      <c r="P19" s="23"/>
      <c r="Q19" s="23"/>
      <c r="R19" s="23"/>
      <c r="S19" s="23"/>
      <c r="T19" s="23"/>
      <c r="U19" s="23"/>
      <c r="V19" s="23"/>
    </row>
    <row r="20" spans="3:23" x14ac:dyDescent="0.3">
      <c r="C20" s="73"/>
      <c r="D20" s="73"/>
      <c r="E20" s="7" t="s">
        <v>12</v>
      </c>
      <c r="F20" s="39">
        <v>9951481</v>
      </c>
      <c r="G20" s="39">
        <v>11446640</v>
      </c>
      <c r="H20" s="39">
        <v>13391085</v>
      </c>
      <c r="I20" s="39">
        <v>15675396</v>
      </c>
      <c r="J20" s="40">
        <v>18566184</v>
      </c>
      <c r="K20" s="40">
        <v>22017283</v>
      </c>
      <c r="L20" s="39">
        <v>20525875</v>
      </c>
    </row>
    <row r="23" spans="3:23" x14ac:dyDescent="0.3">
      <c r="C23" s="71" t="s">
        <v>18</v>
      </c>
      <c r="D23" s="71"/>
      <c r="E23" s="72"/>
      <c r="F23" s="60" t="s">
        <v>7</v>
      </c>
      <c r="G23" s="61"/>
      <c r="H23" s="61"/>
      <c r="I23" s="61"/>
      <c r="J23" s="61"/>
      <c r="K23" s="61"/>
      <c r="L23" s="62"/>
      <c r="P23" s="72"/>
      <c r="Q23" s="60" t="s">
        <v>7</v>
      </c>
      <c r="R23" s="61"/>
      <c r="S23" s="61"/>
      <c r="T23" s="61"/>
      <c r="U23" s="61"/>
      <c r="V23" s="61"/>
      <c r="W23" s="62"/>
    </row>
    <row r="24" spans="3:23" x14ac:dyDescent="0.3">
      <c r="C24" s="73" t="s">
        <v>21</v>
      </c>
      <c r="D24" s="73"/>
      <c r="E24" s="72"/>
      <c r="F24" s="1" t="s">
        <v>15</v>
      </c>
      <c r="G24" s="1" t="s">
        <v>0</v>
      </c>
      <c r="H24" s="1" t="s">
        <v>1</v>
      </c>
      <c r="I24" s="1" t="s">
        <v>2</v>
      </c>
      <c r="J24" s="1" t="s">
        <v>3</v>
      </c>
      <c r="K24" s="1" t="s">
        <v>4</v>
      </c>
      <c r="L24" s="1" t="s">
        <v>16</v>
      </c>
      <c r="O24" s="22"/>
      <c r="P24" s="72"/>
      <c r="Q24" s="1" t="s">
        <v>15</v>
      </c>
      <c r="R24" s="1" t="s">
        <v>0</v>
      </c>
      <c r="S24" s="1" t="s">
        <v>1</v>
      </c>
      <c r="T24" s="1" t="s">
        <v>2</v>
      </c>
      <c r="U24" s="1" t="s">
        <v>3</v>
      </c>
      <c r="V24" s="1" t="s">
        <v>4</v>
      </c>
      <c r="W24" s="1" t="s">
        <v>16</v>
      </c>
    </row>
    <row r="25" spans="3:23" x14ac:dyDescent="0.3">
      <c r="C25" s="73"/>
      <c r="D25" s="73"/>
      <c r="E25" s="7" t="s">
        <v>9</v>
      </c>
      <c r="F25" s="7">
        <v>56</v>
      </c>
      <c r="G25" s="7">
        <v>58</v>
      </c>
      <c r="H25" s="7">
        <v>58</v>
      </c>
      <c r="I25" s="7">
        <v>60</v>
      </c>
      <c r="J25" s="7">
        <v>60</v>
      </c>
      <c r="K25" s="7">
        <v>62</v>
      </c>
      <c r="L25" s="7">
        <v>64</v>
      </c>
      <c r="O25" s="22"/>
      <c r="P25" s="7" t="s">
        <v>10</v>
      </c>
      <c r="Q25" s="7">
        <v>59</v>
      </c>
      <c r="R25" s="7">
        <v>60</v>
      </c>
      <c r="S25" s="7">
        <v>60</v>
      </c>
      <c r="T25" s="7">
        <v>62</v>
      </c>
      <c r="U25" s="7">
        <v>62</v>
      </c>
      <c r="V25" s="7">
        <v>64</v>
      </c>
      <c r="W25" s="7">
        <v>65</v>
      </c>
    </row>
    <row r="26" spans="3:23" x14ac:dyDescent="0.3">
      <c r="C26" s="73"/>
      <c r="D26" s="73"/>
      <c r="E26" s="7" t="s">
        <v>10</v>
      </c>
      <c r="F26" s="7">
        <v>59</v>
      </c>
      <c r="G26" s="7">
        <v>60</v>
      </c>
      <c r="H26" s="7">
        <v>60</v>
      </c>
      <c r="I26" s="7">
        <v>62</v>
      </c>
      <c r="J26" s="7">
        <v>62</v>
      </c>
      <c r="K26" s="7">
        <v>64</v>
      </c>
      <c r="L26" s="7">
        <v>65</v>
      </c>
      <c r="N26">
        <f>CORREL(F26:L26,F27:L27)</f>
        <v>0.63374079132609307</v>
      </c>
      <c r="O26" s="22"/>
      <c r="P26" s="7" t="s">
        <v>13</v>
      </c>
      <c r="Q26" s="36">
        <v>6.8793990392689022</v>
      </c>
      <c r="R26" s="36">
        <v>9.1099279304148197</v>
      </c>
      <c r="S26" s="36">
        <v>8.0002321346086234</v>
      </c>
      <c r="T26" s="36">
        <v>8.4423678445279275</v>
      </c>
      <c r="U26" s="36">
        <v>9.8244776053369094</v>
      </c>
      <c r="V26" s="36">
        <v>9.09705132487389</v>
      </c>
      <c r="W26" s="36">
        <v>9.1867147027131608</v>
      </c>
    </row>
    <row r="27" spans="3:23" x14ac:dyDescent="0.3">
      <c r="C27" s="73"/>
      <c r="D27" s="73"/>
      <c r="E27" s="7" t="s">
        <v>13</v>
      </c>
      <c r="F27" s="36">
        <v>6.8793990392689022</v>
      </c>
      <c r="G27" s="36">
        <v>9.1099279304148197</v>
      </c>
      <c r="H27" s="36">
        <v>8.0002321346086234</v>
      </c>
      <c r="I27" s="36">
        <v>8.4423678445279275</v>
      </c>
      <c r="J27" s="36">
        <v>9.8244776053369094</v>
      </c>
      <c r="K27" s="36">
        <v>9.09705132487389</v>
      </c>
      <c r="L27" s="36">
        <v>9.1867147027131608</v>
      </c>
      <c r="O27" s="22"/>
      <c r="P27" s="14"/>
      <c r="Q27" s="16"/>
      <c r="R27" s="16"/>
      <c r="S27" s="16"/>
      <c r="T27" s="16"/>
      <c r="U27" s="15"/>
      <c r="V27" s="16"/>
    </row>
    <row r="28" spans="3:23" x14ac:dyDescent="0.3">
      <c r="C28" s="73"/>
      <c r="D28" s="73"/>
      <c r="E28" s="7" t="s">
        <v>14</v>
      </c>
      <c r="F28" s="7">
        <v>583</v>
      </c>
      <c r="G28" s="7">
        <v>875</v>
      </c>
      <c r="H28" s="7">
        <v>868</v>
      </c>
      <c r="I28" s="7">
        <v>1031</v>
      </c>
      <c r="J28" s="7">
        <v>1340</v>
      </c>
      <c r="K28" s="7">
        <v>1369</v>
      </c>
      <c r="L28" s="59">
        <v>1205</v>
      </c>
      <c r="O28" s="22"/>
      <c r="P28" s="16"/>
      <c r="Q28" s="16"/>
      <c r="R28" s="16"/>
      <c r="S28" s="16"/>
      <c r="T28" s="16"/>
      <c r="U28" s="16"/>
      <c r="V28" s="16"/>
    </row>
    <row r="29" spans="3:23" x14ac:dyDescent="0.3">
      <c r="C29" s="73"/>
      <c r="D29" s="73"/>
      <c r="E29" s="7" t="s">
        <v>11</v>
      </c>
      <c r="F29" s="7">
        <f>F28/5</f>
        <v>116.6</v>
      </c>
      <c r="G29" s="7">
        <f t="shared" ref="G29" si="9">G28/5</f>
        <v>175</v>
      </c>
      <c r="H29" s="7">
        <f t="shared" ref="H29" si="10">H28/5</f>
        <v>173.6</v>
      </c>
      <c r="I29" s="7">
        <f t="shared" ref="I29" si="11">I28/5</f>
        <v>206.2</v>
      </c>
      <c r="J29" s="7">
        <f t="shared" ref="J29" si="12">J28/5</f>
        <v>268</v>
      </c>
      <c r="K29" s="7">
        <f t="shared" ref="K29" si="13">K28/5</f>
        <v>273.8</v>
      </c>
      <c r="L29" s="7">
        <f>L28/4</f>
        <v>301.25</v>
      </c>
      <c r="O29" s="22"/>
      <c r="P29" s="16"/>
      <c r="Q29" s="16"/>
      <c r="R29" s="16"/>
      <c r="S29" s="16"/>
      <c r="T29" s="16"/>
      <c r="U29" s="16"/>
      <c r="V29" s="16"/>
    </row>
    <row r="30" spans="3:23" x14ac:dyDescent="0.3">
      <c r="C30" s="73"/>
      <c r="D30" s="73"/>
      <c r="E30" s="7" t="s">
        <v>12</v>
      </c>
      <c r="F30" s="39">
        <v>9370944</v>
      </c>
      <c r="G30" s="39">
        <v>10074451</v>
      </c>
      <c r="H30" s="17">
        <v>10656255</v>
      </c>
      <c r="I30" s="17">
        <v>11164995</v>
      </c>
      <c r="J30" s="40">
        <v>11462838</v>
      </c>
      <c r="K30" s="40">
        <v>11759331</v>
      </c>
      <c r="L30" s="17">
        <v>9626085</v>
      </c>
    </row>
    <row r="33" spans="3:23" x14ac:dyDescent="0.3">
      <c r="C33" s="71" t="s">
        <v>18</v>
      </c>
      <c r="D33" s="71"/>
      <c r="E33" s="72"/>
      <c r="F33" s="63" t="s">
        <v>7</v>
      </c>
      <c r="G33" s="64"/>
      <c r="H33" s="64"/>
      <c r="I33" s="64"/>
      <c r="J33" s="64"/>
      <c r="K33" s="64"/>
      <c r="L33" s="65"/>
      <c r="P33" s="72"/>
      <c r="Q33" s="63" t="s">
        <v>7</v>
      </c>
      <c r="R33" s="64"/>
      <c r="S33" s="64"/>
      <c r="T33" s="64"/>
      <c r="U33" s="64"/>
      <c r="V33" s="64"/>
      <c r="W33" s="65"/>
    </row>
    <row r="34" spans="3:23" x14ac:dyDescent="0.3">
      <c r="C34" s="73" t="s">
        <v>23</v>
      </c>
      <c r="D34" s="73"/>
      <c r="E34" s="72"/>
      <c r="F34" s="12" t="s">
        <v>15</v>
      </c>
      <c r="G34" s="1" t="s">
        <v>0</v>
      </c>
      <c r="H34" s="1" t="s">
        <v>1</v>
      </c>
      <c r="I34" s="1" t="s">
        <v>2</v>
      </c>
      <c r="J34" s="1" t="s">
        <v>3</v>
      </c>
      <c r="K34" s="1" t="s">
        <v>4</v>
      </c>
      <c r="L34" s="1" t="s">
        <v>16</v>
      </c>
      <c r="P34" s="72"/>
      <c r="Q34" s="12" t="s">
        <v>15</v>
      </c>
      <c r="R34" s="1" t="s">
        <v>0</v>
      </c>
      <c r="S34" s="1" t="s">
        <v>1</v>
      </c>
      <c r="T34" s="1" t="s">
        <v>2</v>
      </c>
      <c r="U34" s="1" t="s">
        <v>3</v>
      </c>
      <c r="V34" s="1" t="s">
        <v>4</v>
      </c>
      <c r="W34" s="1" t="s">
        <v>16</v>
      </c>
    </row>
    <row r="35" spans="3:23" x14ac:dyDescent="0.3">
      <c r="C35" s="73"/>
      <c r="D35" s="73"/>
      <c r="E35" s="7" t="s">
        <v>9</v>
      </c>
      <c r="F35" s="7">
        <v>59</v>
      </c>
      <c r="G35" s="7">
        <v>60</v>
      </c>
      <c r="H35" s="7">
        <v>62</v>
      </c>
      <c r="I35" s="7">
        <v>63</v>
      </c>
      <c r="J35" s="7">
        <v>64</v>
      </c>
      <c r="K35" s="7">
        <v>65</v>
      </c>
      <c r="L35" s="7">
        <v>65</v>
      </c>
      <c r="P35" s="7" t="s">
        <v>10</v>
      </c>
      <c r="Q35" s="38">
        <v>62.238568295546919</v>
      </c>
      <c r="R35" s="38">
        <v>63.07096615096598</v>
      </c>
      <c r="S35" s="38">
        <v>63.979261171043419</v>
      </c>
      <c r="T35" s="38">
        <v>65.336917267971685</v>
      </c>
      <c r="U35" s="38">
        <v>65.521266993572468</v>
      </c>
      <c r="V35" s="38">
        <v>65.252687436860029</v>
      </c>
      <c r="W35" s="38">
        <v>67</v>
      </c>
    </row>
    <row r="36" spans="3:23" x14ac:dyDescent="0.3">
      <c r="C36" s="73"/>
      <c r="D36" s="73"/>
      <c r="E36" s="7" t="s">
        <v>10</v>
      </c>
      <c r="F36" s="38">
        <v>62.238568295546919</v>
      </c>
      <c r="G36" s="38">
        <v>63.07096615096598</v>
      </c>
      <c r="H36" s="38">
        <v>63.979261171043419</v>
      </c>
      <c r="I36" s="38">
        <v>65.336917267971685</v>
      </c>
      <c r="J36" s="38">
        <v>65.521266993572468</v>
      </c>
      <c r="K36" s="38">
        <v>65.252687436860029</v>
      </c>
      <c r="L36" s="38">
        <v>67</v>
      </c>
      <c r="N36">
        <f>CORREL(F36:L36,F37:L37)</f>
        <v>-0.8343478488917383</v>
      </c>
      <c r="P36" s="7" t="s">
        <v>13</v>
      </c>
      <c r="Q36" s="42">
        <v>9.4383748396138341</v>
      </c>
      <c r="R36" s="36">
        <v>9.0503469109633752</v>
      </c>
      <c r="S36" s="36">
        <v>8.2155416813450337</v>
      </c>
      <c r="T36" s="36">
        <v>6.7396947723047722</v>
      </c>
      <c r="U36" s="36">
        <v>6.8128595040216773</v>
      </c>
      <c r="V36" s="36">
        <v>8.2380211319949801</v>
      </c>
      <c r="W36" s="36">
        <v>7.3244085782286641</v>
      </c>
    </row>
    <row r="37" spans="3:23" x14ac:dyDescent="0.3">
      <c r="C37" s="73"/>
      <c r="D37" s="73"/>
      <c r="E37" s="7" t="s">
        <v>13</v>
      </c>
      <c r="F37" s="42">
        <v>9.4383748396138341</v>
      </c>
      <c r="G37" s="36">
        <v>9.0503469109633752</v>
      </c>
      <c r="H37" s="36">
        <v>8.2155416813450337</v>
      </c>
      <c r="I37" s="36">
        <v>6.7396947723047722</v>
      </c>
      <c r="J37" s="36">
        <v>6.8128595040216773</v>
      </c>
      <c r="K37" s="36">
        <v>8.2380211319949801</v>
      </c>
      <c r="L37" s="36">
        <v>7.3244085782286641</v>
      </c>
    </row>
    <row r="38" spans="3:23" x14ac:dyDescent="0.3">
      <c r="C38" s="73"/>
      <c r="D38" s="73"/>
      <c r="E38" s="7" t="s">
        <v>14</v>
      </c>
      <c r="F38" s="7">
        <v>1768</v>
      </c>
      <c r="G38" s="7">
        <v>1909</v>
      </c>
      <c r="H38" s="7">
        <v>2006</v>
      </c>
      <c r="I38" s="7">
        <v>1913</v>
      </c>
      <c r="J38" s="7">
        <v>2240</v>
      </c>
      <c r="K38" s="7">
        <v>3057</v>
      </c>
      <c r="L38" s="7">
        <v>2415</v>
      </c>
    </row>
    <row r="39" spans="3:23" x14ac:dyDescent="0.3">
      <c r="C39" s="73"/>
      <c r="D39" s="73"/>
      <c r="E39" s="7" t="s">
        <v>11</v>
      </c>
      <c r="F39" s="38">
        <f>F38/5</f>
        <v>353.6</v>
      </c>
      <c r="G39" s="38">
        <f t="shared" ref="G39:K39" si="14">G38/5</f>
        <v>381.8</v>
      </c>
      <c r="H39" s="38">
        <f t="shared" si="14"/>
        <v>401.2</v>
      </c>
      <c r="I39" s="38">
        <f t="shared" si="14"/>
        <v>382.6</v>
      </c>
      <c r="J39" s="38">
        <f t="shared" si="14"/>
        <v>448</v>
      </c>
      <c r="K39" s="38">
        <f t="shared" si="14"/>
        <v>611.4</v>
      </c>
      <c r="L39" s="38">
        <f>L38/4</f>
        <v>603.75</v>
      </c>
    </row>
    <row r="40" spans="3:23" x14ac:dyDescent="0.3">
      <c r="C40" s="73"/>
      <c r="D40" s="73"/>
      <c r="E40" s="7" t="s">
        <v>12</v>
      </c>
      <c r="F40" s="17">
        <v>25751371</v>
      </c>
      <c r="G40" s="17">
        <v>28033039</v>
      </c>
      <c r="H40" s="17">
        <v>30854203</v>
      </c>
      <c r="I40" s="17">
        <v>33085355</v>
      </c>
      <c r="J40" s="17">
        <v>33402988</v>
      </c>
      <c r="K40" s="17">
        <v>33644225</v>
      </c>
      <c r="L40" s="17">
        <v>27090243</v>
      </c>
    </row>
    <row r="43" spans="3:23" x14ac:dyDescent="0.3">
      <c r="C43" s="71" t="s">
        <v>18</v>
      </c>
      <c r="D43" s="71"/>
      <c r="E43" s="72"/>
      <c r="F43" s="72" t="s">
        <v>7</v>
      </c>
      <c r="G43" s="72"/>
      <c r="H43" s="72"/>
      <c r="I43" s="72"/>
      <c r="J43" s="72"/>
      <c r="K43" s="72"/>
      <c r="P43" s="72"/>
      <c r="Q43" s="72" t="s">
        <v>7</v>
      </c>
      <c r="R43" s="72"/>
      <c r="S43" s="72"/>
      <c r="T43" s="72"/>
      <c r="U43" s="72"/>
      <c r="V43" s="72"/>
    </row>
    <row r="44" spans="3:23" x14ac:dyDescent="0.3">
      <c r="C44" s="73" t="s">
        <v>24</v>
      </c>
      <c r="D44" s="73"/>
      <c r="E44" s="72"/>
      <c r="F44" s="1" t="s">
        <v>0</v>
      </c>
      <c r="G44" s="1" t="s">
        <v>1</v>
      </c>
      <c r="H44" s="1" t="s">
        <v>2</v>
      </c>
      <c r="I44" s="1" t="s">
        <v>3</v>
      </c>
      <c r="J44" s="1" t="s">
        <v>4</v>
      </c>
      <c r="K44" s="1" t="s">
        <v>25</v>
      </c>
      <c r="P44" s="72"/>
      <c r="Q44" s="1" t="s">
        <v>0</v>
      </c>
      <c r="R44" s="1" t="s">
        <v>1</v>
      </c>
      <c r="S44" s="1" t="s">
        <v>2</v>
      </c>
      <c r="T44" s="1" t="s">
        <v>3</v>
      </c>
      <c r="U44" s="1" t="s">
        <v>4</v>
      </c>
      <c r="V44" s="1" t="s">
        <v>25</v>
      </c>
    </row>
    <row r="45" spans="3:23" x14ac:dyDescent="0.3">
      <c r="C45" s="73"/>
      <c r="D45" s="73"/>
      <c r="E45" s="7" t="s">
        <v>9</v>
      </c>
      <c r="F45" s="44">
        <v>58</v>
      </c>
      <c r="G45" s="44">
        <v>55</v>
      </c>
      <c r="H45" s="44">
        <v>65</v>
      </c>
      <c r="I45" s="44">
        <v>60</v>
      </c>
      <c r="J45" s="44">
        <v>63</v>
      </c>
      <c r="K45" s="44">
        <v>65</v>
      </c>
      <c r="P45" s="7" t="s">
        <v>10</v>
      </c>
      <c r="Q45" s="45">
        <v>57.988061415533949</v>
      </c>
      <c r="R45" s="45">
        <v>54.366849108736012</v>
      </c>
      <c r="S45" s="45">
        <v>63.585992152647478</v>
      </c>
      <c r="T45" s="45">
        <v>58.327053928067151</v>
      </c>
      <c r="U45" s="45">
        <v>58.903082999873448</v>
      </c>
      <c r="V45" s="45">
        <v>57.1249686126326</v>
      </c>
    </row>
    <row r="46" spans="3:23" x14ac:dyDescent="0.3">
      <c r="C46" s="73"/>
      <c r="D46" s="73"/>
      <c r="E46" s="7" t="s">
        <v>10</v>
      </c>
      <c r="F46" s="45">
        <v>57.988061415533949</v>
      </c>
      <c r="G46" s="45">
        <v>54.366849108736012</v>
      </c>
      <c r="H46" s="45">
        <v>63.585992152647478</v>
      </c>
      <c r="I46" s="45">
        <v>58.327053928067151</v>
      </c>
      <c r="J46" s="45">
        <v>58.903082999873448</v>
      </c>
      <c r="K46" s="45">
        <v>57.1249686126326</v>
      </c>
      <c r="P46" s="7" t="s">
        <v>13</v>
      </c>
      <c r="Q46" s="46">
        <v>1.0127279135150244</v>
      </c>
      <c r="R46" s="46">
        <v>1.5766580264596224</v>
      </c>
      <c r="S46" s="46">
        <v>1.5053079842807957</v>
      </c>
      <c r="T46" s="47">
        <v>2.0117494560422915</v>
      </c>
      <c r="U46" s="46">
        <v>1.4917029629254681</v>
      </c>
      <c r="V46" s="46">
        <v>1.5425160007327352</v>
      </c>
    </row>
    <row r="47" spans="3:23" x14ac:dyDescent="0.3">
      <c r="C47" s="73"/>
      <c r="D47" s="73"/>
      <c r="E47" s="7" t="s">
        <v>13</v>
      </c>
      <c r="F47" s="46">
        <v>1.0127279135150244</v>
      </c>
      <c r="G47" s="46">
        <v>1.5766580264596224</v>
      </c>
      <c r="H47" s="46">
        <v>1.5053079842807957</v>
      </c>
      <c r="I47" s="47">
        <v>2.0117494560422915</v>
      </c>
      <c r="J47" s="46">
        <v>1.4917029629254681</v>
      </c>
      <c r="K47" s="46">
        <v>1.5425160007327352</v>
      </c>
      <c r="M47">
        <f>CORREL(F46:K46,F47:K47)</f>
        <v>-3.6498493598521378E-2</v>
      </c>
    </row>
    <row r="48" spans="3:23" x14ac:dyDescent="0.3">
      <c r="C48" s="73"/>
      <c r="D48" s="73"/>
      <c r="E48" s="7" t="s">
        <v>14</v>
      </c>
      <c r="F48" s="44">
        <v>12</v>
      </c>
      <c r="G48" s="44">
        <v>21</v>
      </c>
      <c r="H48" s="44">
        <v>22</v>
      </c>
      <c r="I48" s="44">
        <v>30</v>
      </c>
      <c r="J48" s="44">
        <v>26</v>
      </c>
      <c r="K48" s="44">
        <v>30</v>
      </c>
    </row>
    <row r="49" spans="3:20" x14ac:dyDescent="0.3">
      <c r="C49" s="73"/>
      <c r="D49" s="73"/>
      <c r="E49" s="7" t="s">
        <v>11</v>
      </c>
      <c r="F49" s="45">
        <f>F48/5</f>
        <v>2.4</v>
      </c>
      <c r="G49" s="45">
        <f t="shared" ref="G49:K49" si="15">G48/5</f>
        <v>4.2</v>
      </c>
      <c r="H49" s="45">
        <f t="shared" si="15"/>
        <v>4.4000000000000004</v>
      </c>
      <c r="I49" s="45">
        <f t="shared" si="15"/>
        <v>6</v>
      </c>
      <c r="J49" s="45">
        <f t="shared" si="15"/>
        <v>5.2</v>
      </c>
      <c r="K49" s="45">
        <f t="shared" si="15"/>
        <v>6</v>
      </c>
    </row>
    <row r="50" spans="3:20" x14ac:dyDescent="0.3">
      <c r="C50" s="73"/>
      <c r="D50" s="73"/>
      <c r="E50" s="7" t="s">
        <v>12</v>
      </c>
      <c r="F50" s="44">
        <v>1168684</v>
      </c>
      <c r="G50" s="49">
        <v>1233046</v>
      </c>
      <c r="H50" s="49">
        <v>1196000</v>
      </c>
      <c r="I50" s="49">
        <v>1240935</v>
      </c>
      <c r="J50" s="49">
        <v>1316169</v>
      </c>
      <c r="K50" s="49">
        <v>1395971</v>
      </c>
    </row>
    <row r="53" spans="3:20" x14ac:dyDescent="0.3">
      <c r="C53" s="71" t="s">
        <v>18</v>
      </c>
      <c r="D53" s="71"/>
      <c r="E53" s="72"/>
      <c r="F53" s="72" t="s">
        <v>7</v>
      </c>
      <c r="G53" s="72"/>
      <c r="H53" s="72"/>
      <c r="I53" s="72"/>
      <c r="J53" s="72"/>
      <c r="K53" s="72"/>
    </row>
    <row r="54" spans="3:20" x14ac:dyDescent="0.3">
      <c r="C54" s="73" t="s">
        <v>26</v>
      </c>
      <c r="D54" s="73"/>
      <c r="E54" s="72"/>
      <c r="F54" s="1" t="s">
        <v>0</v>
      </c>
      <c r="G54" s="1" t="s">
        <v>1</v>
      </c>
      <c r="H54" s="1" t="s">
        <v>2</v>
      </c>
      <c r="I54" s="1" t="s">
        <v>3</v>
      </c>
      <c r="J54" s="1" t="s">
        <v>4</v>
      </c>
      <c r="K54" s="1" t="s">
        <v>25</v>
      </c>
    </row>
    <row r="55" spans="3:20" x14ac:dyDescent="0.3">
      <c r="C55" s="73"/>
      <c r="D55" s="73"/>
      <c r="E55" s="7" t="s">
        <v>9</v>
      </c>
      <c r="F55" s="7">
        <v>60</v>
      </c>
      <c r="G55" s="7">
        <v>59</v>
      </c>
      <c r="H55" s="7">
        <v>60</v>
      </c>
      <c r="I55" s="7">
        <v>60</v>
      </c>
      <c r="J55" s="7">
        <v>60</v>
      </c>
      <c r="K55" s="7">
        <v>62</v>
      </c>
    </row>
    <row r="56" spans="3:20" x14ac:dyDescent="0.3">
      <c r="C56" s="73"/>
      <c r="D56" s="73"/>
      <c r="E56" s="7" t="s">
        <v>10</v>
      </c>
      <c r="F56" s="38">
        <v>62.719569009857651</v>
      </c>
      <c r="G56" s="41">
        <v>61.584569669283709</v>
      </c>
      <c r="H56" s="38">
        <v>62.460122629482385</v>
      </c>
      <c r="I56" s="38">
        <v>62.607390830191662</v>
      </c>
      <c r="J56" s="38">
        <v>62.848287952171376</v>
      </c>
      <c r="K56" s="38">
        <v>63.236443320832727</v>
      </c>
      <c r="N56" s="72"/>
      <c r="O56" s="72" t="s">
        <v>7</v>
      </c>
      <c r="P56" s="72"/>
      <c r="Q56" s="72"/>
      <c r="R56" s="72"/>
      <c r="S56" s="72"/>
      <c r="T56" s="72"/>
    </row>
    <row r="57" spans="3:20" x14ac:dyDescent="0.3">
      <c r="C57" s="73"/>
      <c r="D57" s="73"/>
      <c r="E57" s="7" t="s">
        <v>13</v>
      </c>
      <c r="F57" s="42">
        <v>9.9365332965500066</v>
      </c>
      <c r="G57" s="42">
        <v>9.8673724195253065</v>
      </c>
      <c r="H57" s="42">
        <v>8.7666414079979642</v>
      </c>
      <c r="I57" s="42">
        <v>8.4597005266612531</v>
      </c>
      <c r="J57" s="42">
        <v>9.5874538534211666</v>
      </c>
      <c r="K57" s="42">
        <v>9.4728064152466995</v>
      </c>
      <c r="M57">
        <f>CORREL(F56:K56,F57:K57)</f>
        <v>-0.14605000256981196</v>
      </c>
      <c r="N57" s="72"/>
      <c r="O57" s="1" t="s">
        <v>0</v>
      </c>
      <c r="P57" s="1" t="s">
        <v>1</v>
      </c>
      <c r="Q57" s="1" t="s">
        <v>2</v>
      </c>
      <c r="R57" s="1" t="s">
        <v>3</v>
      </c>
      <c r="S57" s="1" t="s">
        <v>4</v>
      </c>
      <c r="T57" s="1" t="s">
        <v>25</v>
      </c>
    </row>
    <row r="58" spans="3:20" x14ac:dyDescent="0.3">
      <c r="C58" s="73"/>
      <c r="D58" s="73"/>
      <c r="E58" s="7" t="s">
        <v>14</v>
      </c>
      <c r="F58" s="3">
        <v>202</v>
      </c>
      <c r="G58" s="3">
        <v>253</v>
      </c>
      <c r="H58" s="3">
        <v>283</v>
      </c>
      <c r="I58" s="3">
        <v>343</v>
      </c>
      <c r="J58" s="3">
        <v>484</v>
      </c>
      <c r="K58" s="3">
        <v>580</v>
      </c>
      <c r="N58" s="7" t="s">
        <v>10</v>
      </c>
      <c r="O58" s="38">
        <v>62.719569009857651</v>
      </c>
      <c r="P58" s="41">
        <v>61.584569669283709</v>
      </c>
      <c r="Q58" s="38">
        <v>62.460122629482385</v>
      </c>
      <c r="R58" s="38">
        <v>62.607390830191662</v>
      </c>
      <c r="S58" s="38">
        <v>62.848287952171376</v>
      </c>
      <c r="T58" s="38">
        <v>63.236443320832727</v>
      </c>
    </row>
    <row r="59" spans="3:20" x14ac:dyDescent="0.3">
      <c r="C59" s="73"/>
      <c r="D59" s="73"/>
      <c r="E59" s="7" t="s">
        <v>11</v>
      </c>
      <c r="F59" s="41">
        <f>F58/5</f>
        <v>40.4</v>
      </c>
      <c r="G59" s="41">
        <f t="shared" ref="G59:K59" si="16">G58/5</f>
        <v>50.6</v>
      </c>
      <c r="H59" s="41">
        <f t="shared" si="16"/>
        <v>56.6</v>
      </c>
      <c r="I59" s="41">
        <f t="shared" si="16"/>
        <v>68.599999999999994</v>
      </c>
      <c r="J59" s="41">
        <f t="shared" si="16"/>
        <v>96.8</v>
      </c>
      <c r="K59" s="41">
        <f t="shared" si="16"/>
        <v>116</v>
      </c>
    </row>
    <row r="60" spans="3:20" x14ac:dyDescent="0.3">
      <c r="C60" s="73"/>
      <c r="D60" s="73"/>
      <c r="E60" s="7" t="s">
        <v>12</v>
      </c>
      <c r="F60" s="17">
        <v>2973790</v>
      </c>
      <c r="G60" s="17">
        <v>3485067</v>
      </c>
      <c r="H60" s="17">
        <v>4034976</v>
      </c>
      <c r="I60" s="17">
        <v>4564620</v>
      </c>
      <c r="J60" s="43">
        <v>5159284</v>
      </c>
      <c r="K60" s="17">
        <v>5831407</v>
      </c>
    </row>
  </sheetData>
  <mergeCells count="30">
    <mergeCell ref="N56:N57"/>
    <mergeCell ref="O56:T56"/>
    <mergeCell ref="P43:P44"/>
    <mergeCell ref="Q43:V43"/>
    <mergeCell ref="P3:P4"/>
    <mergeCell ref="Q3:V3"/>
    <mergeCell ref="P14:P15"/>
    <mergeCell ref="P23:P24"/>
    <mergeCell ref="P33:P34"/>
    <mergeCell ref="C33:D33"/>
    <mergeCell ref="E33:E34"/>
    <mergeCell ref="C34:D40"/>
    <mergeCell ref="C23:D23"/>
    <mergeCell ref="E23:E24"/>
    <mergeCell ref="C24:D30"/>
    <mergeCell ref="C3:D3"/>
    <mergeCell ref="E3:E4"/>
    <mergeCell ref="F3:K3"/>
    <mergeCell ref="C4:D10"/>
    <mergeCell ref="C13:D13"/>
    <mergeCell ref="E13:E14"/>
    <mergeCell ref="C14:D20"/>
    <mergeCell ref="C43:D43"/>
    <mergeCell ref="E43:E44"/>
    <mergeCell ref="F43:K43"/>
    <mergeCell ref="C44:D50"/>
    <mergeCell ref="C53:D53"/>
    <mergeCell ref="E53:E54"/>
    <mergeCell ref="F53:K53"/>
    <mergeCell ref="C54:D6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A956-B2AF-4584-8FA9-24796F3DA219}">
  <dimension ref="D2:W59"/>
  <sheetViews>
    <sheetView topLeftCell="A37" workbookViewId="0">
      <selection activeCell="G55" sqref="G55:L55"/>
    </sheetView>
  </sheetViews>
  <sheetFormatPr defaultRowHeight="14.4" x14ac:dyDescent="0.3"/>
  <cols>
    <col min="6" max="6" width="17.77734375" bestFit="1" customWidth="1"/>
    <col min="7" max="13" width="12" bestFit="1" customWidth="1"/>
    <col min="16" max="16" width="17.77734375" bestFit="1" customWidth="1"/>
  </cols>
  <sheetData>
    <row r="2" spans="4:23" x14ac:dyDescent="0.3">
      <c r="D2" s="71" t="s">
        <v>18</v>
      </c>
      <c r="E2" s="71"/>
      <c r="F2" s="72"/>
      <c r="G2" s="72" t="s">
        <v>8</v>
      </c>
      <c r="H2" s="72"/>
      <c r="I2" s="72"/>
      <c r="J2" s="72"/>
      <c r="K2" s="72"/>
      <c r="L2" s="72"/>
    </row>
    <row r="3" spans="4:23" x14ac:dyDescent="0.3">
      <c r="D3" s="73" t="s">
        <v>19</v>
      </c>
      <c r="E3" s="73"/>
      <c r="F3" s="72"/>
      <c r="G3" s="1" t="s">
        <v>0</v>
      </c>
      <c r="H3" s="1" t="s">
        <v>1</v>
      </c>
      <c r="I3" s="1" t="s">
        <v>2</v>
      </c>
      <c r="J3" s="1" t="s">
        <v>3</v>
      </c>
      <c r="K3" s="1" t="s">
        <v>4</v>
      </c>
      <c r="L3" s="1" t="s">
        <v>5</v>
      </c>
    </row>
    <row r="4" spans="4:23" x14ac:dyDescent="0.3">
      <c r="D4" s="73"/>
      <c r="E4" s="73"/>
      <c r="F4" s="7" t="s">
        <v>9</v>
      </c>
      <c r="G4" s="2">
        <v>69</v>
      </c>
      <c r="H4" s="5">
        <v>70</v>
      </c>
      <c r="I4" s="5">
        <v>70</v>
      </c>
      <c r="J4" s="5">
        <v>70</v>
      </c>
      <c r="K4" s="5">
        <v>70</v>
      </c>
      <c r="L4" s="5">
        <v>70</v>
      </c>
      <c r="N4" s="22"/>
      <c r="O4" s="16"/>
    </row>
    <row r="5" spans="4:23" x14ac:dyDescent="0.3">
      <c r="D5" s="73"/>
      <c r="E5" s="73"/>
      <c r="F5" s="7" t="s">
        <v>10</v>
      </c>
      <c r="G5" s="2">
        <v>70.784161839925346</v>
      </c>
      <c r="H5" s="2">
        <v>70.713994438298002</v>
      </c>
      <c r="I5" s="2">
        <v>70.945933691496009</v>
      </c>
      <c r="J5" s="2">
        <v>71.694828479829411</v>
      </c>
      <c r="K5" s="2">
        <v>71.342083159846894</v>
      </c>
      <c r="L5" s="2">
        <v>72</v>
      </c>
      <c r="N5" s="22"/>
      <c r="O5" s="21"/>
    </row>
    <row r="6" spans="4:23" x14ac:dyDescent="0.3">
      <c r="D6" s="73"/>
      <c r="E6" s="73"/>
      <c r="F6" s="7" t="s">
        <v>13</v>
      </c>
      <c r="G6" s="19">
        <v>4.793394004475628</v>
      </c>
      <c r="H6" s="19">
        <v>5.323866067261795</v>
      </c>
      <c r="I6" s="19">
        <v>6.3425439427957455</v>
      </c>
      <c r="J6" s="19">
        <v>7.8283755884100552</v>
      </c>
      <c r="K6" s="19">
        <v>8.5405845536657345</v>
      </c>
      <c r="L6" s="19">
        <v>9.3509606731451633</v>
      </c>
      <c r="N6" s="22">
        <f>CORREL(G5:L5,G6:L6)</f>
        <v>0.92168306155617941</v>
      </c>
      <c r="O6" s="23"/>
    </row>
    <row r="7" spans="4:23" x14ac:dyDescent="0.3">
      <c r="D7" s="73"/>
      <c r="E7" s="73"/>
      <c r="F7" s="7" t="s">
        <v>14</v>
      </c>
      <c r="G7" s="10">
        <v>736</v>
      </c>
      <c r="H7" s="11">
        <v>1023</v>
      </c>
      <c r="I7" s="10">
        <v>1542</v>
      </c>
      <c r="J7" s="10">
        <v>2389</v>
      </c>
      <c r="K7" s="10">
        <v>3193</v>
      </c>
      <c r="L7" s="10">
        <v>2434</v>
      </c>
      <c r="N7" s="22"/>
      <c r="O7" s="23"/>
      <c r="P7" s="23"/>
      <c r="Q7" s="23"/>
      <c r="R7" s="23"/>
      <c r="S7" s="23"/>
      <c r="T7" s="23"/>
    </row>
    <row r="8" spans="4:23" x14ac:dyDescent="0.3">
      <c r="D8" s="73"/>
      <c r="E8" s="73"/>
      <c r="F8" s="7" t="s">
        <v>11</v>
      </c>
      <c r="G8" s="2">
        <f>G7/5</f>
        <v>147.19999999999999</v>
      </c>
      <c r="H8" s="2">
        <f t="shared" ref="H8" si="0">H7/5</f>
        <v>204.6</v>
      </c>
      <c r="I8" s="5">
        <f t="shared" ref="I8" si="1">I7/5</f>
        <v>308.39999999999998</v>
      </c>
      <c r="J8" s="5">
        <f t="shared" ref="J8" si="2">J7/5</f>
        <v>477.8</v>
      </c>
      <c r="K8" s="2">
        <f t="shared" ref="K8" si="3">K7/5</f>
        <v>638.6</v>
      </c>
      <c r="L8" s="2">
        <f>L7/3</f>
        <v>811.33333333333337</v>
      </c>
    </row>
    <row r="9" spans="4:23" x14ac:dyDescent="0.3">
      <c r="D9" s="73"/>
      <c r="E9" s="73"/>
      <c r="F9" s="7" t="s">
        <v>12</v>
      </c>
      <c r="G9" s="5">
        <v>24563438</v>
      </c>
      <c r="H9" s="8">
        <v>30364842</v>
      </c>
      <c r="I9" s="8">
        <v>36360806</v>
      </c>
      <c r="J9" s="8">
        <v>40542555</v>
      </c>
      <c r="K9" s="8">
        <v>45083087</v>
      </c>
      <c r="L9" s="8">
        <v>29438550</v>
      </c>
    </row>
    <row r="12" spans="4:23" x14ac:dyDescent="0.3">
      <c r="D12" s="71" t="s">
        <v>18</v>
      </c>
      <c r="E12" s="71"/>
      <c r="F12" s="72"/>
      <c r="G12" s="83" t="s">
        <v>8</v>
      </c>
      <c r="H12" s="84"/>
      <c r="I12" s="84"/>
      <c r="J12" s="84"/>
      <c r="K12" s="84"/>
      <c r="L12" s="84"/>
      <c r="M12" s="85"/>
      <c r="P12" s="72"/>
      <c r="Q12" s="83" t="s">
        <v>8</v>
      </c>
      <c r="R12" s="84"/>
      <c r="S12" s="84"/>
      <c r="T12" s="84"/>
      <c r="U12" s="84"/>
      <c r="V12" s="84"/>
      <c r="W12" s="85"/>
    </row>
    <row r="13" spans="4:23" x14ac:dyDescent="0.3">
      <c r="D13" s="73" t="s">
        <v>20</v>
      </c>
      <c r="E13" s="73"/>
      <c r="F13" s="72"/>
      <c r="G13" s="1" t="s">
        <v>15</v>
      </c>
      <c r="H13" s="1" t="s">
        <v>0</v>
      </c>
      <c r="I13" s="1" t="s">
        <v>1</v>
      </c>
      <c r="J13" s="1" t="s">
        <v>2</v>
      </c>
      <c r="K13" s="1" t="s">
        <v>3</v>
      </c>
      <c r="L13" s="1" t="s">
        <v>4</v>
      </c>
      <c r="M13" s="1" t="s">
        <v>16</v>
      </c>
      <c r="O13" s="22"/>
      <c r="P13" s="72"/>
      <c r="Q13" s="1" t="s">
        <v>15</v>
      </c>
      <c r="R13" s="1" t="s">
        <v>0</v>
      </c>
      <c r="S13" s="1" t="s">
        <v>1</v>
      </c>
      <c r="T13" s="1" t="s">
        <v>2</v>
      </c>
      <c r="U13" s="1" t="s">
        <v>3</v>
      </c>
      <c r="V13" s="1" t="s">
        <v>4</v>
      </c>
      <c r="W13" s="1" t="s">
        <v>16</v>
      </c>
    </row>
    <row r="14" spans="4:23" x14ac:dyDescent="0.3">
      <c r="D14" s="73"/>
      <c r="E14" s="73"/>
      <c r="F14" s="7" t="s">
        <v>9</v>
      </c>
      <c r="G14" s="5">
        <v>70</v>
      </c>
      <c r="H14" s="2">
        <v>70</v>
      </c>
      <c r="I14" s="5">
        <v>70</v>
      </c>
      <c r="J14" s="5">
        <v>73</v>
      </c>
      <c r="K14" s="5">
        <v>71</v>
      </c>
      <c r="L14" s="5">
        <v>71</v>
      </c>
      <c r="M14" s="5">
        <v>71</v>
      </c>
      <c r="O14" s="22"/>
      <c r="P14" s="7" t="s">
        <v>10</v>
      </c>
      <c r="Q14" s="2">
        <v>70.592023499584243</v>
      </c>
      <c r="R14" s="2">
        <v>70.758561589657532</v>
      </c>
      <c r="S14" s="2">
        <v>71.740554838111578</v>
      </c>
      <c r="T14" s="2">
        <v>73.077506995186013</v>
      </c>
      <c r="U14" s="2">
        <v>71.752301052363279</v>
      </c>
      <c r="V14" s="2">
        <v>72.052381676820261</v>
      </c>
      <c r="W14" s="2">
        <v>71.022535046831294</v>
      </c>
    </row>
    <row r="15" spans="4:23" x14ac:dyDescent="0.3">
      <c r="D15" s="73"/>
      <c r="E15" s="73"/>
      <c r="F15" s="7" t="s">
        <v>10</v>
      </c>
      <c r="G15" s="2">
        <v>70.592023499584243</v>
      </c>
      <c r="H15" s="2">
        <v>70.758561589657532</v>
      </c>
      <c r="I15" s="2">
        <v>71.740554838111578</v>
      </c>
      <c r="J15" s="2">
        <v>73.077506995186013</v>
      </c>
      <c r="K15" s="2">
        <v>71.752301052363279</v>
      </c>
      <c r="L15" s="2">
        <v>72.052381676820261</v>
      </c>
      <c r="M15" s="2">
        <v>71.022535046831294</v>
      </c>
      <c r="O15" s="22">
        <f>CORREL(G15:M15,G16:M16)</f>
        <v>0.20259486418156386</v>
      </c>
      <c r="P15" s="31"/>
      <c r="Q15" s="31"/>
      <c r="R15" s="31"/>
      <c r="S15" s="31"/>
      <c r="T15" s="32"/>
      <c r="U15" s="32"/>
      <c r="V15" s="31"/>
    </row>
    <row r="16" spans="4:23" x14ac:dyDescent="0.3">
      <c r="D16" s="73"/>
      <c r="E16" s="73"/>
      <c r="F16" s="7" t="s">
        <v>13</v>
      </c>
      <c r="G16" s="18">
        <v>3.622876480109984</v>
      </c>
      <c r="H16" s="18">
        <v>3.2458704211957623</v>
      </c>
      <c r="I16" s="18">
        <v>3.3868572476103784</v>
      </c>
      <c r="J16" s="18">
        <v>4.725812861835033</v>
      </c>
      <c r="K16" s="18">
        <v>5.9254032391153242</v>
      </c>
      <c r="L16" s="18">
        <v>6.3629735780437455</v>
      </c>
      <c r="M16" s="18">
        <f>ROUND(7.24154808638107,3)</f>
        <v>7.242</v>
      </c>
      <c r="O16" s="22"/>
      <c r="P16" s="16"/>
      <c r="Q16" s="16"/>
      <c r="R16" s="16"/>
      <c r="S16" s="16"/>
      <c r="T16" s="16"/>
      <c r="U16" s="16"/>
      <c r="V16" s="16"/>
    </row>
    <row r="17" spans="4:23" x14ac:dyDescent="0.3">
      <c r="D17" s="73"/>
      <c r="E17" s="73"/>
      <c r="F17" s="7" t="s">
        <v>14</v>
      </c>
      <c r="G17" s="5">
        <v>249</v>
      </c>
      <c r="H17" s="5">
        <v>274</v>
      </c>
      <c r="I17" s="5">
        <v>344</v>
      </c>
      <c r="J17" s="5">
        <v>591</v>
      </c>
      <c r="K17" s="5">
        <v>974</v>
      </c>
      <c r="L17" s="5">
        <v>1337</v>
      </c>
      <c r="M17" s="5">
        <v>1494</v>
      </c>
      <c r="O17" s="22"/>
      <c r="P17" s="16"/>
      <c r="Q17" s="23"/>
      <c r="R17" s="16"/>
      <c r="S17" s="16"/>
      <c r="T17" s="16"/>
      <c r="U17" s="16"/>
      <c r="V17" s="16"/>
    </row>
    <row r="18" spans="4:23" x14ac:dyDescent="0.3">
      <c r="D18" s="73"/>
      <c r="E18" s="73"/>
      <c r="F18" s="7" t="s">
        <v>11</v>
      </c>
      <c r="G18" s="5">
        <f>G17/5</f>
        <v>49.8</v>
      </c>
      <c r="H18" s="5">
        <f t="shared" ref="H18" si="4">H17/5</f>
        <v>54.8</v>
      </c>
      <c r="I18" s="5">
        <f t="shared" ref="I18" si="5">I17/5</f>
        <v>68.8</v>
      </c>
      <c r="J18" s="5">
        <f t="shared" ref="J18" si="6">J17/5</f>
        <v>118.2</v>
      </c>
      <c r="K18" s="5">
        <f t="shared" ref="K18" si="7">K17/5</f>
        <v>194.8</v>
      </c>
      <c r="L18" s="5">
        <f t="shared" ref="L18" si="8">L17/5</f>
        <v>267.39999999999998</v>
      </c>
      <c r="M18" s="5">
        <f>M17/4</f>
        <v>373.5</v>
      </c>
      <c r="O18" s="22"/>
      <c r="P18" s="23"/>
      <c r="Q18" s="23"/>
      <c r="R18" s="23"/>
      <c r="S18" s="23"/>
      <c r="T18" s="23"/>
      <c r="U18" s="23"/>
      <c r="V18" s="23"/>
    </row>
    <row r="19" spans="4:23" x14ac:dyDescent="0.3">
      <c r="D19" s="73"/>
      <c r="E19" s="73"/>
      <c r="F19" s="7" t="s">
        <v>12</v>
      </c>
      <c r="G19" s="13">
        <v>9951481</v>
      </c>
      <c r="H19" s="13">
        <v>11446640</v>
      </c>
      <c r="I19" s="13">
        <v>13391085</v>
      </c>
      <c r="J19" s="13">
        <v>15675396</v>
      </c>
      <c r="K19" s="8">
        <v>18566184</v>
      </c>
      <c r="L19" s="8">
        <v>22017283</v>
      </c>
      <c r="M19" s="13">
        <v>20525875</v>
      </c>
    </row>
    <row r="22" spans="4:23" x14ac:dyDescent="0.3">
      <c r="D22" s="71" t="s">
        <v>18</v>
      </c>
      <c r="E22" s="71"/>
      <c r="F22" s="86"/>
      <c r="G22" s="89" t="s">
        <v>8</v>
      </c>
      <c r="H22" s="89"/>
      <c r="I22" s="89"/>
      <c r="J22" s="89"/>
      <c r="K22" s="89"/>
      <c r="L22" s="89"/>
      <c r="M22" s="89"/>
      <c r="P22" s="86"/>
      <c r="Q22" s="89" t="s">
        <v>8</v>
      </c>
      <c r="R22" s="89"/>
      <c r="S22" s="89"/>
      <c r="T22" s="89"/>
      <c r="U22" s="89"/>
      <c r="V22" s="89"/>
      <c r="W22" s="89"/>
    </row>
    <row r="23" spans="4:23" x14ac:dyDescent="0.3">
      <c r="D23" s="73" t="s">
        <v>21</v>
      </c>
      <c r="E23" s="73"/>
      <c r="F23" s="86"/>
      <c r="G23" s="1" t="s">
        <v>15</v>
      </c>
      <c r="H23" s="1" t="s">
        <v>0</v>
      </c>
      <c r="I23" s="1" t="s">
        <v>1</v>
      </c>
      <c r="J23" s="1" t="s">
        <v>2</v>
      </c>
      <c r="K23" s="1" t="s">
        <v>3</v>
      </c>
      <c r="L23" s="1" t="s">
        <v>4</v>
      </c>
      <c r="M23" s="1" t="s">
        <v>16</v>
      </c>
      <c r="O23" s="22"/>
      <c r="P23" s="86"/>
      <c r="Q23" s="1" t="s">
        <v>15</v>
      </c>
      <c r="R23" s="1" t="s">
        <v>0</v>
      </c>
      <c r="S23" s="1" t="s">
        <v>1</v>
      </c>
      <c r="T23" s="1" t="s">
        <v>2</v>
      </c>
      <c r="U23" s="1" t="s">
        <v>3</v>
      </c>
      <c r="V23" s="1" t="s">
        <v>4</v>
      </c>
      <c r="W23" s="1" t="s">
        <v>16</v>
      </c>
    </row>
    <row r="24" spans="4:23" x14ac:dyDescent="0.3">
      <c r="D24" s="73"/>
      <c r="E24" s="73"/>
      <c r="F24" s="35" t="s">
        <v>9</v>
      </c>
      <c r="G24" s="5">
        <v>67</v>
      </c>
      <c r="H24" s="2">
        <v>70</v>
      </c>
      <c r="I24" s="5">
        <v>71</v>
      </c>
      <c r="J24" s="5">
        <v>71</v>
      </c>
      <c r="K24" s="5">
        <v>71</v>
      </c>
      <c r="L24" s="5">
        <v>73</v>
      </c>
      <c r="M24" s="5">
        <v>73</v>
      </c>
      <c r="O24" s="22"/>
      <c r="P24" s="35" t="s">
        <v>10</v>
      </c>
      <c r="Q24" s="5">
        <v>70</v>
      </c>
      <c r="R24" s="5">
        <v>71</v>
      </c>
      <c r="S24" s="5">
        <v>72</v>
      </c>
      <c r="T24" s="5">
        <v>71</v>
      </c>
      <c r="U24" s="5">
        <v>72</v>
      </c>
      <c r="V24" s="5">
        <v>73</v>
      </c>
      <c r="W24" s="5">
        <v>73</v>
      </c>
    </row>
    <row r="25" spans="4:23" x14ac:dyDescent="0.3">
      <c r="D25" s="73"/>
      <c r="E25" s="73"/>
      <c r="F25" s="35" t="s">
        <v>10</v>
      </c>
      <c r="G25" s="5">
        <v>70</v>
      </c>
      <c r="H25" s="5">
        <v>71</v>
      </c>
      <c r="I25" s="5">
        <v>72</v>
      </c>
      <c r="J25" s="5">
        <v>71</v>
      </c>
      <c r="K25" s="5">
        <v>72</v>
      </c>
      <c r="L25" s="5">
        <v>73</v>
      </c>
      <c r="M25" s="5">
        <v>73</v>
      </c>
      <c r="O25" s="22">
        <f>CORREL(G25:M25,G26:M26)</f>
        <v>0.8899783657431416</v>
      </c>
      <c r="P25" s="31"/>
      <c r="Q25" s="31"/>
      <c r="R25" s="33"/>
      <c r="S25" s="33"/>
      <c r="T25" s="32"/>
      <c r="U25" s="32"/>
      <c r="V25" s="34"/>
    </row>
    <row r="26" spans="4:23" x14ac:dyDescent="0.3">
      <c r="D26" s="73"/>
      <c r="E26" s="73"/>
      <c r="F26" s="35" t="s">
        <v>13</v>
      </c>
      <c r="G26" s="19">
        <v>1.7942300908470672</v>
      </c>
      <c r="H26" s="18">
        <v>2.4265875006547866</v>
      </c>
      <c r="I26" s="18">
        <v>3.465095738557455</v>
      </c>
      <c r="J26" s="18">
        <v>3.2486531019821179</v>
      </c>
      <c r="K26" s="18">
        <v>3.9740955704239127</v>
      </c>
      <c r="L26" s="18">
        <v>4.8066643408580747</v>
      </c>
      <c r="M26" s="18">
        <v>6.9955573645140605</v>
      </c>
      <c r="O26" s="22"/>
      <c r="Q26" s="16"/>
      <c r="R26" s="16"/>
      <c r="S26" s="16"/>
      <c r="T26" s="16"/>
      <c r="U26" s="16"/>
      <c r="V26" s="16"/>
    </row>
    <row r="27" spans="4:23" x14ac:dyDescent="0.3">
      <c r="D27" s="73"/>
      <c r="E27" s="73"/>
      <c r="F27" s="35" t="s">
        <v>14</v>
      </c>
      <c r="G27" s="6">
        <v>132</v>
      </c>
      <c r="H27" s="5">
        <v>208</v>
      </c>
      <c r="I27" s="5">
        <v>355</v>
      </c>
      <c r="J27" s="5">
        <v>388</v>
      </c>
      <c r="K27" s="5">
        <v>533</v>
      </c>
      <c r="L27" s="5">
        <v>714</v>
      </c>
      <c r="M27" s="5">
        <v>909</v>
      </c>
      <c r="O27" s="22"/>
      <c r="P27" s="16"/>
      <c r="Q27" s="23"/>
      <c r="R27" s="16"/>
      <c r="S27" s="16"/>
      <c r="T27" s="16"/>
      <c r="U27" s="16"/>
      <c r="V27" s="16"/>
    </row>
    <row r="28" spans="4:23" x14ac:dyDescent="0.3">
      <c r="D28" s="73"/>
      <c r="E28" s="73"/>
      <c r="F28" s="35" t="s">
        <v>11</v>
      </c>
      <c r="G28" s="5">
        <f>G27/5</f>
        <v>26.4</v>
      </c>
      <c r="H28" s="5">
        <f t="shared" ref="H28" si="9">H27/5</f>
        <v>41.6</v>
      </c>
      <c r="I28" s="5">
        <f t="shared" ref="I28" si="10">I27/5</f>
        <v>71</v>
      </c>
      <c r="J28" s="5">
        <f t="shared" ref="J28" si="11">J27/5</f>
        <v>77.599999999999994</v>
      </c>
      <c r="K28" s="5">
        <f t="shared" ref="K28" si="12">K27/5</f>
        <v>106.6</v>
      </c>
      <c r="L28" s="5">
        <f t="shared" ref="L28" si="13">L27/5</f>
        <v>142.80000000000001</v>
      </c>
      <c r="M28" s="5">
        <f t="shared" ref="M28" si="14">M27/5</f>
        <v>181.8</v>
      </c>
      <c r="O28" s="22"/>
      <c r="P28" s="16"/>
      <c r="Q28" s="16"/>
      <c r="R28" s="16"/>
      <c r="S28" s="16"/>
      <c r="T28" s="16"/>
      <c r="U28" s="16"/>
      <c r="V28" s="16"/>
    </row>
    <row r="29" spans="4:23" x14ac:dyDescent="0.3">
      <c r="D29" s="73"/>
      <c r="E29" s="73"/>
      <c r="F29" s="35" t="s">
        <v>12</v>
      </c>
      <c r="G29" s="13">
        <v>9370944</v>
      </c>
      <c r="H29" s="13">
        <v>10074451</v>
      </c>
      <c r="I29" s="17">
        <v>10656255</v>
      </c>
      <c r="J29" s="17">
        <v>11164995</v>
      </c>
      <c r="K29" s="8">
        <v>11462838</v>
      </c>
      <c r="L29" s="8">
        <v>11759331</v>
      </c>
      <c r="M29" s="4">
        <v>9626085</v>
      </c>
    </row>
    <row r="32" spans="4:23" x14ac:dyDescent="0.3">
      <c r="D32" s="71" t="s">
        <v>18</v>
      </c>
      <c r="E32" s="71"/>
      <c r="F32" s="72"/>
      <c r="G32" s="86" t="s">
        <v>8</v>
      </c>
      <c r="H32" s="87"/>
      <c r="I32" s="87"/>
      <c r="J32" s="87"/>
      <c r="K32" s="87"/>
      <c r="L32" s="87"/>
      <c r="M32" s="88"/>
    </row>
    <row r="33" spans="4:23" x14ac:dyDescent="0.3">
      <c r="D33" s="73" t="s">
        <v>23</v>
      </c>
      <c r="E33" s="73"/>
      <c r="F33" s="72"/>
      <c r="G33" s="12" t="s">
        <v>15</v>
      </c>
      <c r="H33" s="1" t="s">
        <v>0</v>
      </c>
      <c r="I33" s="1" t="s">
        <v>1</v>
      </c>
      <c r="J33" s="1" t="s">
        <v>2</v>
      </c>
      <c r="K33" s="1" t="s">
        <v>3</v>
      </c>
      <c r="L33" s="1" t="s">
        <v>4</v>
      </c>
      <c r="M33" s="1" t="s">
        <v>16</v>
      </c>
      <c r="P33" s="72"/>
      <c r="Q33" s="86" t="s">
        <v>8</v>
      </c>
      <c r="R33" s="87"/>
      <c r="S33" s="87"/>
      <c r="T33" s="87"/>
      <c r="U33" s="87"/>
      <c r="V33" s="87"/>
      <c r="W33" s="88"/>
    </row>
    <row r="34" spans="4:23" x14ac:dyDescent="0.3">
      <c r="D34" s="73"/>
      <c r="E34" s="73"/>
      <c r="F34" s="7" t="s">
        <v>9</v>
      </c>
      <c r="G34" s="7">
        <v>70</v>
      </c>
      <c r="H34" s="38">
        <v>70</v>
      </c>
      <c r="I34" s="7">
        <v>71</v>
      </c>
      <c r="J34" s="7">
        <v>71</v>
      </c>
      <c r="K34" s="7">
        <v>72</v>
      </c>
      <c r="L34" s="7">
        <v>72</v>
      </c>
      <c r="M34" s="7">
        <v>73</v>
      </c>
      <c r="P34" s="72"/>
      <c r="Q34" s="12" t="s">
        <v>15</v>
      </c>
      <c r="R34" s="1" t="s">
        <v>0</v>
      </c>
      <c r="S34" s="1" t="s">
        <v>1</v>
      </c>
      <c r="T34" s="1" t="s">
        <v>2</v>
      </c>
      <c r="U34" s="1" t="s">
        <v>3</v>
      </c>
      <c r="V34" s="1" t="s">
        <v>4</v>
      </c>
      <c r="W34" s="1" t="s">
        <v>16</v>
      </c>
    </row>
    <row r="35" spans="4:23" x14ac:dyDescent="0.3">
      <c r="D35" s="73"/>
      <c r="E35" s="73"/>
      <c r="F35" s="7" t="s">
        <v>10</v>
      </c>
      <c r="G35" s="38">
        <v>70.592023499584243</v>
      </c>
      <c r="H35" s="38">
        <v>70.758561589657532</v>
      </c>
      <c r="I35" s="38">
        <v>71.740554838111578</v>
      </c>
      <c r="J35" s="38">
        <v>73.077506995186013</v>
      </c>
      <c r="K35" s="38">
        <v>71.752301052363279</v>
      </c>
      <c r="L35" s="38">
        <v>72.052381676820261</v>
      </c>
      <c r="M35" s="38">
        <v>73</v>
      </c>
      <c r="P35" s="7" t="s">
        <v>10</v>
      </c>
      <c r="Q35" s="38">
        <v>70.592023499584243</v>
      </c>
      <c r="R35" s="38">
        <v>70.758561589657532</v>
      </c>
      <c r="S35" s="38">
        <v>71.740554838111578</v>
      </c>
      <c r="T35" s="38">
        <v>73.077506995186013</v>
      </c>
      <c r="U35" s="38">
        <v>71.752301052363279</v>
      </c>
      <c r="V35" s="38">
        <v>72.052381676820261</v>
      </c>
      <c r="W35" s="38">
        <v>73</v>
      </c>
    </row>
    <row r="36" spans="4:23" x14ac:dyDescent="0.3">
      <c r="D36" s="73"/>
      <c r="E36" s="73"/>
      <c r="F36" s="7" t="s">
        <v>13</v>
      </c>
      <c r="G36" s="20">
        <v>4.5778909662111698</v>
      </c>
      <c r="H36" s="36">
        <v>5.0589404642534754</v>
      </c>
      <c r="I36" s="36">
        <v>5.301629460416895</v>
      </c>
      <c r="J36" s="36">
        <v>4.763805388044025</v>
      </c>
      <c r="K36" s="36">
        <v>5.5048709690451689</v>
      </c>
      <c r="L36" s="37">
        <v>7.0728767172127345</v>
      </c>
      <c r="M36" s="36">
        <v>7.7676733604826751</v>
      </c>
      <c r="O36">
        <f>CORREL(G35:M35,G36:M36)</f>
        <v>0.51822776476612609</v>
      </c>
    </row>
    <row r="37" spans="4:23" x14ac:dyDescent="0.3">
      <c r="D37" s="73"/>
      <c r="E37" s="73"/>
      <c r="F37" s="7" t="s">
        <v>14</v>
      </c>
      <c r="G37" s="7">
        <v>668</v>
      </c>
      <c r="H37" s="3">
        <v>891</v>
      </c>
      <c r="I37" s="3">
        <v>1132</v>
      </c>
      <c r="J37" s="7">
        <v>1240</v>
      </c>
      <c r="K37" s="7">
        <v>1714</v>
      </c>
      <c r="L37" s="3">
        <v>2544</v>
      </c>
      <c r="M37" s="3">
        <v>2539</v>
      </c>
    </row>
    <row r="38" spans="4:23" x14ac:dyDescent="0.3">
      <c r="D38" s="73"/>
      <c r="E38" s="73"/>
      <c r="F38" s="7" t="s">
        <v>11</v>
      </c>
      <c r="G38" s="38">
        <f>G37/5</f>
        <v>133.6</v>
      </c>
      <c r="H38" s="38">
        <f t="shared" ref="H38:L38" si="15">H37/5</f>
        <v>178.2</v>
      </c>
      <c r="I38" s="38">
        <f t="shared" si="15"/>
        <v>226.4</v>
      </c>
      <c r="J38" s="38">
        <f t="shared" si="15"/>
        <v>248</v>
      </c>
      <c r="K38" s="38">
        <f t="shared" si="15"/>
        <v>342.8</v>
      </c>
      <c r="L38" s="38">
        <f t="shared" si="15"/>
        <v>508.8</v>
      </c>
      <c r="M38" s="38">
        <f>M37/4</f>
        <v>634.75</v>
      </c>
    </row>
    <row r="39" spans="4:23" x14ac:dyDescent="0.3">
      <c r="D39" s="73"/>
      <c r="E39" s="73"/>
      <c r="F39" s="7" t="s">
        <v>12</v>
      </c>
      <c r="G39" s="39">
        <v>25751371</v>
      </c>
      <c r="H39" s="39">
        <v>28033039</v>
      </c>
      <c r="I39" s="17">
        <v>30854203</v>
      </c>
      <c r="J39" s="17">
        <v>33085355</v>
      </c>
      <c r="K39" s="40">
        <v>33402988</v>
      </c>
      <c r="L39" s="40">
        <v>33644225</v>
      </c>
      <c r="M39" s="17">
        <v>27090243</v>
      </c>
    </row>
    <row r="42" spans="4:23" x14ac:dyDescent="0.3">
      <c r="D42" s="71" t="s">
        <v>18</v>
      </c>
      <c r="E42" s="71"/>
      <c r="F42" s="72"/>
      <c r="G42" s="72" t="s">
        <v>8</v>
      </c>
      <c r="H42" s="72"/>
      <c r="I42" s="72"/>
      <c r="J42" s="72"/>
      <c r="K42" s="72"/>
      <c r="L42" s="72"/>
    </row>
    <row r="43" spans="4:23" x14ac:dyDescent="0.3">
      <c r="D43" s="73" t="s">
        <v>24</v>
      </c>
      <c r="E43" s="73"/>
      <c r="F43" s="72"/>
      <c r="G43" s="1" t="s">
        <v>0</v>
      </c>
      <c r="H43" s="1" t="s">
        <v>1</v>
      </c>
      <c r="I43" s="1" t="s">
        <v>2</v>
      </c>
      <c r="J43" s="1" t="s">
        <v>3</v>
      </c>
      <c r="K43" s="1" t="s">
        <v>4</v>
      </c>
      <c r="L43" s="1" t="s">
        <v>25</v>
      </c>
      <c r="P43" s="72"/>
      <c r="Q43" s="72" t="s">
        <v>8</v>
      </c>
      <c r="R43" s="72"/>
      <c r="S43" s="72"/>
      <c r="T43" s="72"/>
      <c r="U43" s="72"/>
      <c r="V43" s="72"/>
    </row>
    <row r="44" spans="4:23" x14ac:dyDescent="0.3">
      <c r="D44" s="73"/>
      <c r="E44" s="73"/>
      <c r="F44" s="7" t="s">
        <v>9</v>
      </c>
      <c r="G44" s="44">
        <v>65</v>
      </c>
      <c r="H44" s="44">
        <v>70</v>
      </c>
      <c r="I44" s="44">
        <v>70</v>
      </c>
      <c r="J44" s="44">
        <v>70</v>
      </c>
      <c r="K44" s="44">
        <v>70</v>
      </c>
      <c r="L44" s="44">
        <v>70</v>
      </c>
      <c r="P44" s="72"/>
      <c r="Q44" s="1" t="s">
        <v>0</v>
      </c>
      <c r="R44" s="1" t="s">
        <v>1</v>
      </c>
      <c r="S44" s="1" t="s">
        <v>2</v>
      </c>
      <c r="T44" s="1" t="s">
        <v>3</v>
      </c>
      <c r="U44" s="1" t="s">
        <v>4</v>
      </c>
      <c r="V44" s="1" t="s">
        <v>25</v>
      </c>
    </row>
    <row r="45" spans="4:23" x14ac:dyDescent="0.3">
      <c r="D45" s="73"/>
      <c r="E45" s="73"/>
      <c r="F45" s="7" t="s">
        <v>10</v>
      </c>
      <c r="G45" s="45">
        <v>67.108698702135101</v>
      </c>
      <c r="H45" s="45">
        <v>71.483440975416627</v>
      </c>
      <c r="I45" s="45">
        <v>73.18544030843546</v>
      </c>
      <c r="J45" s="45">
        <v>69.216195604847371</v>
      </c>
      <c r="K45" s="45">
        <v>69.314977938030907</v>
      </c>
      <c r="L45" s="45">
        <v>70.840176870091142</v>
      </c>
      <c r="P45" s="7" t="s">
        <v>10</v>
      </c>
      <c r="Q45" s="45">
        <v>67.108698702135101</v>
      </c>
      <c r="R45" s="45">
        <v>71.483440975416627</v>
      </c>
      <c r="S45" s="45">
        <v>73.18544030843546</v>
      </c>
      <c r="T45" s="45">
        <v>69.216195604847371</v>
      </c>
      <c r="U45" s="45">
        <v>69.314977938030907</v>
      </c>
      <c r="V45" s="45">
        <v>70.840176870091142</v>
      </c>
    </row>
    <row r="46" spans="4:23" x14ac:dyDescent="0.3">
      <c r="D46" s="73"/>
      <c r="E46" s="73"/>
      <c r="F46" s="7" t="s">
        <v>13</v>
      </c>
      <c r="G46" s="46">
        <v>0.8661890935587887</v>
      </c>
      <c r="H46" s="46">
        <v>0.89206737282838822</v>
      </c>
      <c r="I46" s="46">
        <v>0.81177279860060125</v>
      </c>
      <c r="J46" s="47">
        <v>1.9162618354017782</v>
      </c>
      <c r="K46" s="46">
        <v>1.3790555693379283</v>
      </c>
      <c r="L46" s="46">
        <v>2.6895809405320081</v>
      </c>
      <c r="N46">
        <f>CORREL(G45:L45,G46:L46)</f>
        <v>-5.3080371237136097E-2</v>
      </c>
    </row>
    <row r="47" spans="4:23" x14ac:dyDescent="0.3">
      <c r="D47" s="73"/>
      <c r="E47" s="73"/>
      <c r="F47" s="7" t="s">
        <v>14</v>
      </c>
      <c r="G47" s="48">
        <v>11</v>
      </c>
      <c r="H47" s="44">
        <v>15</v>
      </c>
      <c r="I47" s="44">
        <v>15</v>
      </c>
      <c r="J47" s="44">
        <v>36</v>
      </c>
      <c r="K47" s="44">
        <v>29</v>
      </c>
      <c r="L47" s="44">
        <v>65</v>
      </c>
      <c r="N47" s="67"/>
    </row>
    <row r="48" spans="4:23" x14ac:dyDescent="0.3">
      <c r="D48" s="73"/>
      <c r="E48" s="73"/>
      <c r="F48" s="7" t="s">
        <v>11</v>
      </c>
      <c r="G48" s="45">
        <f>G47/5</f>
        <v>2.2000000000000002</v>
      </c>
      <c r="H48" s="45">
        <f t="shared" ref="H48:L48" si="16">H47/5</f>
        <v>3</v>
      </c>
      <c r="I48" s="45">
        <f t="shared" si="16"/>
        <v>3</v>
      </c>
      <c r="J48" s="45">
        <f t="shared" si="16"/>
        <v>7.2</v>
      </c>
      <c r="K48" s="45">
        <f t="shared" si="16"/>
        <v>5.8</v>
      </c>
      <c r="L48" s="45">
        <f t="shared" si="16"/>
        <v>13</v>
      </c>
    </row>
    <row r="49" spans="4:22" x14ac:dyDescent="0.3">
      <c r="D49" s="73"/>
      <c r="E49" s="73"/>
      <c r="F49" s="7" t="s">
        <v>12</v>
      </c>
      <c r="G49" s="44">
        <v>1168684</v>
      </c>
      <c r="H49" s="49">
        <v>1233046</v>
      </c>
      <c r="I49" s="49">
        <v>1196000</v>
      </c>
      <c r="J49" s="49">
        <v>1240935</v>
      </c>
      <c r="K49" s="49">
        <v>1316169</v>
      </c>
      <c r="L49" s="49">
        <v>1395971</v>
      </c>
    </row>
    <row r="52" spans="4:22" x14ac:dyDescent="0.3">
      <c r="D52" s="71" t="s">
        <v>18</v>
      </c>
      <c r="E52" s="71"/>
      <c r="F52" s="72"/>
      <c r="G52" s="72" t="s">
        <v>8</v>
      </c>
      <c r="H52" s="72"/>
      <c r="I52" s="72"/>
      <c r="J52" s="72"/>
      <c r="K52" s="72"/>
      <c r="L52" s="72"/>
      <c r="P52" s="72"/>
      <c r="Q52" s="72" t="s">
        <v>8</v>
      </c>
      <c r="R52" s="72"/>
      <c r="S52" s="72"/>
      <c r="T52" s="72"/>
      <c r="U52" s="72"/>
      <c r="V52" s="72"/>
    </row>
    <row r="53" spans="4:22" x14ac:dyDescent="0.3">
      <c r="D53" s="73" t="s">
        <v>26</v>
      </c>
      <c r="E53" s="73"/>
      <c r="F53" s="72"/>
      <c r="G53" s="1" t="s">
        <v>0</v>
      </c>
      <c r="H53" s="1" t="s">
        <v>1</v>
      </c>
      <c r="I53" s="1" t="s">
        <v>2</v>
      </c>
      <c r="J53" s="1" t="s">
        <v>3</v>
      </c>
      <c r="K53" s="1" t="s">
        <v>4</v>
      </c>
      <c r="L53" s="1" t="s">
        <v>25</v>
      </c>
      <c r="P53" s="72"/>
      <c r="Q53" s="1" t="s">
        <v>0</v>
      </c>
      <c r="R53" s="1" t="s">
        <v>1</v>
      </c>
      <c r="S53" s="1" t="s">
        <v>2</v>
      </c>
      <c r="T53" s="1" t="s">
        <v>3</v>
      </c>
      <c r="U53" s="1" t="s">
        <v>4</v>
      </c>
      <c r="V53" s="1" t="s">
        <v>25</v>
      </c>
    </row>
    <row r="54" spans="4:22" x14ac:dyDescent="0.3">
      <c r="D54" s="73"/>
      <c r="E54" s="73"/>
      <c r="F54" s="7" t="s">
        <v>9</v>
      </c>
      <c r="G54" s="38">
        <v>65</v>
      </c>
      <c r="H54" s="7">
        <v>66</v>
      </c>
      <c r="I54" s="7">
        <v>67</v>
      </c>
      <c r="J54" s="7">
        <v>68</v>
      </c>
      <c r="K54" s="7">
        <v>70</v>
      </c>
      <c r="L54" s="7">
        <v>70</v>
      </c>
      <c r="P54" s="7" t="s">
        <v>10</v>
      </c>
      <c r="Q54" s="41">
        <v>68.671554519786014</v>
      </c>
      <c r="R54" s="41">
        <v>69.919724271618563</v>
      </c>
      <c r="S54" s="38">
        <v>68.858786523417123</v>
      </c>
      <c r="T54" s="38">
        <v>69.718995965081376</v>
      </c>
      <c r="U54" s="38">
        <v>70.49489478744465</v>
      </c>
      <c r="V54" s="38">
        <v>70.222944681184472</v>
      </c>
    </row>
    <row r="55" spans="4:22" x14ac:dyDescent="0.3">
      <c r="D55" s="73"/>
      <c r="E55" s="73"/>
      <c r="F55" s="7" t="s">
        <v>10</v>
      </c>
      <c r="G55" s="41">
        <v>68.671554519786014</v>
      </c>
      <c r="H55" s="41">
        <v>69.919724271618563</v>
      </c>
      <c r="I55" s="38">
        <v>68.858786523417123</v>
      </c>
      <c r="J55" s="38">
        <v>69.718995965081376</v>
      </c>
      <c r="K55" s="38">
        <v>70.49489478744465</v>
      </c>
      <c r="L55" s="38">
        <v>70.222944681184472</v>
      </c>
      <c r="N55">
        <f>CORREL(G55:L55,G56:L56)</f>
        <v>-0.64498640237445704</v>
      </c>
    </row>
    <row r="56" spans="4:22" x14ac:dyDescent="0.3">
      <c r="D56" s="73"/>
      <c r="E56" s="73"/>
      <c r="F56" s="7" t="s">
        <v>13</v>
      </c>
      <c r="G56" s="42">
        <v>9.9365332965500066</v>
      </c>
      <c r="H56" s="42">
        <v>4.6069527156063756</v>
      </c>
      <c r="I56" s="42">
        <v>4.0961401047393968</v>
      </c>
      <c r="J56" s="42">
        <v>3.9122061296856923</v>
      </c>
      <c r="K56" s="42">
        <v>3.974102578030748</v>
      </c>
      <c r="L56" s="42">
        <v>4.1886777382518883</v>
      </c>
    </row>
    <row r="57" spans="4:22" x14ac:dyDescent="0.3">
      <c r="D57" s="73"/>
      <c r="E57" s="73"/>
      <c r="F57" s="7" t="s">
        <v>14</v>
      </c>
      <c r="G57" s="3">
        <v>70</v>
      </c>
      <c r="H57" s="3">
        <v>107</v>
      </c>
      <c r="I57" s="3">
        <v>121</v>
      </c>
      <c r="J57" s="3">
        <v>152</v>
      </c>
      <c r="K57" s="3">
        <v>194</v>
      </c>
      <c r="L57" s="3">
        <v>254</v>
      </c>
    </row>
    <row r="58" spans="4:22" x14ac:dyDescent="0.3">
      <c r="D58" s="73"/>
      <c r="E58" s="73"/>
      <c r="F58" s="7" t="s">
        <v>11</v>
      </c>
      <c r="G58" s="41">
        <f>G57/5</f>
        <v>14</v>
      </c>
      <c r="H58" s="41">
        <f t="shared" ref="H58:L58" si="17">H57/5</f>
        <v>21.4</v>
      </c>
      <c r="I58" s="41">
        <f t="shared" si="17"/>
        <v>24.2</v>
      </c>
      <c r="J58" s="41">
        <f t="shared" si="17"/>
        <v>30.4</v>
      </c>
      <c r="K58" s="41">
        <f t="shared" si="17"/>
        <v>38.799999999999997</v>
      </c>
      <c r="L58" s="41">
        <f t="shared" si="17"/>
        <v>50.8</v>
      </c>
    </row>
    <row r="59" spans="4:22" x14ac:dyDescent="0.3">
      <c r="D59" s="73"/>
      <c r="E59" s="73"/>
      <c r="F59" s="7" t="s">
        <v>12</v>
      </c>
      <c r="G59" s="17">
        <v>2973790</v>
      </c>
      <c r="H59" s="17">
        <v>3485067</v>
      </c>
      <c r="I59" s="17">
        <v>4034976</v>
      </c>
      <c r="J59" s="17">
        <v>4564620</v>
      </c>
      <c r="K59" s="43">
        <v>5159284</v>
      </c>
      <c r="L59" s="17">
        <v>5831407</v>
      </c>
    </row>
  </sheetData>
  <mergeCells count="34">
    <mergeCell ref="G22:M22"/>
    <mergeCell ref="G32:M32"/>
    <mergeCell ref="D32:E32"/>
    <mergeCell ref="F32:F33"/>
    <mergeCell ref="D33:E39"/>
    <mergeCell ref="D22:E22"/>
    <mergeCell ref="F22:F23"/>
    <mergeCell ref="D23:E29"/>
    <mergeCell ref="D2:E2"/>
    <mergeCell ref="F2:F3"/>
    <mergeCell ref="G2:L2"/>
    <mergeCell ref="D3:E9"/>
    <mergeCell ref="D12:E12"/>
    <mergeCell ref="F12:F13"/>
    <mergeCell ref="G12:M12"/>
    <mergeCell ref="D13:E19"/>
    <mergeCell ref="D42:E42"/>
    <mergeCell ref="F42:F43"/>
    <mergeCell ref="G42:L42"/>
    <mergeCell ref="D43:E49"/>
    <mergeCell ref="D52:E52"/>
    <mergeCell ref="F52:F53"/>
    <mergeCell ref="G52:L52"/>
    <mergeCell ref="D53:E59"/>
    <mergeCell ref="P43:P44"/>
    <mergeCell ref="Q43:V43"/>
    <mergeCell ref="P52:P53"/>
    <mergeCell ref="Q52:V52"/>
    <mergeCell ref="P12:P13"/>
    <mergeCell ref="Q12:W12"/>
    <mergeCell ref="P22:P23"/>
    <mergeCell ref="Q22:W22"/>
    <mergeCell ref="P33:P34"/>
    <mergeCell ref="Q33:W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0FCB-80A0-403E-8E7B-03E3D9AFB5C1}">
  <dimension ref="D2:X60"/>
  <sheetViews>
    <sheetView workbookViewId="0">
      <selection activeCell="O11" sqref="O11"/>
    </sheetView>
  </sheetViews>
  <sheetFormatPr defaultRowHeight="14.4" x14ac:dyDescent="0.3"/>
  <cols>
    <col min="3" max="3" width="11.44140625" customWidth="1"/>
    <col min="5" max="5" width="3.33203125" customWidth="1"/>
    <col min="6" max="6" width="16.77734375" customWidth="1"/>
    <col min="7" max="13" width="9.6640625" bestFit="1" customWidth="1"/>
    <col min="17" max="17" width="17.77734375" bestFit="1" customWidth="1"/>
  </cols>
  <sheetData>
    <row r="2" spans="4:24" x14ac:dyDescent="0.3">
      <c r="Q2" s="72"/>
      <c r="R2" s="72" t="s">
        <v>27</v>
      </c>
      <c r="S2" s="72"/>
      <c r="T2" s="72"/>
      <c r="U2" s="72"/>
      <c r="V2" s="72"/>
      <c r="W2" s="72"/>
    </row>
    <row r="3" spans="4:24" x14ac:dyDescent="0.3">
      <c r="D3" s="71" t="s">
        <v>18</v>
      </c>
      <c r="E3" s="71"/>
      <c r="F3" s="72"/>
      <c r="G3" s="72" t="s">
        <v>27</v>
      </c>
      <c r="H3" s="72"/>
      <c r="I3" s="72"/>
      <c r="J3" s="72"/>
      <c r="K3" s="72"/>
      <c r="L3" s="72"/>
      <c r="Q3" s="72"/>
      <c r="R3" s="1" t="s">
        <v>0</v>
      </c>
      <c r="S3" s="1" t="s">
        <v>1</v>
      </c>
      <c r="T3" s="1" t="s">
        <v>2</v>
      </c>
      <c r="U3" s="1" t="s">
        <v>3</v>
      </c>
      <c r="V3" s="1" t="s">
        <v>4</v>
      </c>
      <c r="W3" s="1" t="s">
        <v>5</v>
      </c>
    </row>
    <row r="4" spans="4:24" x14ac:dyDescent="0.3">
      <c r="D4" s="73" t="s">
        <v>19</v>
      </c>
      <c r="E4" s="73"/>
      <c r="F4" s="72"/>
      <c r="G4" s="1" t="s">
        <v>0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5</v>
      </c>
      <c r="Q4" s="7" t="s">
        <v>10</v>
      </c>
      <c r="R4" s="45">
        <v>59.347466337089841</v>
      </c>
      <c r="S4" s="44">
        <v>60</v>
      </c>
      <c r="T4" s="45">
        <v>60.323599078546437</v>
      </c>
      <c r="U4" s="45">
        <v>60.365549181189259</v>
      </c>
      <c r="V4" s="45">
        <v>60.714629354637047</v>
      </c>
      <c r="W4" s="45">
        <v>61</v>
      </c>
    </row>
    <row r="5" spans="4:24" x14ac:dyDescent="0.3">
      <c r="D5" s="73"/>
      <c r="E5" s="73"/>
      <c r="F5" s="7" t="s">
        <v>9</v>
      </c>
      <c r="G5" s="50">
        <v>54</v>
      </c>
      <c r="H5" s="50">
        <v>55</v>
      </c>
      <c r="I5" s="50">
        <v>55</v>
      </c>
      <c r="J5" s="50">
        <v>56</v>
      </c>
      <c r="K5" s="50">
        <v>57</v>
      </c>
      <c r="L5" s="50">
        <v>58</v>
      </c>
      <c r="Q5" s="7" t="s">
        <v>13</v>
      </c>
      <c r="R5" s="52">
        <v>95.961295851906414</v>
      </c>
      <c r="S5" s="52">
        <v>91.684610101254435</v>
      </c>
      <c r="T5" s="52">
        <v>91.305275930564136</v>
      </c>
      <c r="U5" s="52">
        <v>98.534762368160898</v>
      </c>
      <c r="V5" s="52">
        <v>115.78812818085086</v>
      </c>
      <c r="W5" s="52">
        <v>117.50544962670058</v>
      </c>
    </row>
    <row r="6" spans="4:24" x14ac:dyDescent="0.3">
      <c r="D6" s="73"/>
      <c r="E6" s="73"/>
      <c r="F6" s="7" t="s">
        <v>10</v>
      </c>
      <c r="G6" s="45">
        <v>59.347466337089841</v>
      </c>
      <c r="H6" s="44">
        <v>60</v>
      </c>
      <c r="I6" s="45">
        <v>60.323599078546437</v>
      </c>
      <c r="J6" s="45">
        <v>60.365549181189259</v>
      </c>
      <c r="K6" s="45">
        <v>60.714629354637047</v>
      </c>
      <c r="L6" s="45">
        <v>61</v>
      </c>
      <c r="N6">
        <f>CORREL(G6:L6,G7:L7)</f>
        <v>0.730708435544137</v>
      </c>
    </row>
    <row r="7" spans="4:24" x14ac:dyDescent="0.3">
      <c r="D7" s="73"/>
      <c r="E7" s="73"/>
      <c r="F7" s="7" t="s">
        <v>13</v>
      </c>
      <c r="G7" s="52">
        <v>95.961295851906414</v>
      </c>
      <c r="H7" s="52">
        <v>91.684610101254435</v>
      </c>
      <c r="I7" s="52">
        <v>91.305275930564136</v>
      </c>
      <c r="J7" s="52">
        <v>98.534762368160898</v>
      </c>
      <c r="K7" s="52">
        <v>115.78812818085086</v>
      </c>
      <c r="L7" s="52">
        <v>117.50544962670058</v>
      </c>
    </row>
    <row r="8" spans="4:24" x14ac:dyDescent="0.3">
      <c r="D8" s="73"/>
      <c r="E8" s="73"/>
      <c r="F8" s="7" t="s">
        <v>14</v>
      </c>
      <c r="G8" s="44">
        <v>18150</v>
      </c>
      <c r="H8" s="44">
        <v>21446</v>
      </c>
      <c r="I8" s="44">
        <v>26740</v>
      </c>
      <c r="J8" s="44">
        <v>35091</v>
      </c>
      <c r="K8" s="44">
        <v>49391</v>
      </c>
      <c r="L8" s="44">
        <v>34303</v>
      </c>
    </row>
    <row r="9" spans="4:24" x14ac:dyDescent="0.3">
      <c r="D9" s="73"/>
      <c r="E9" s="73"/>
      <c r="F9" s="7" t="s">
        <v>11</v>
      </c>
      <c r="G9" s="51">
        <f>G8/5</f>
        <v>3630</v>
      </c>
      <c r="H9" s="51">
        <f t="shared" ref="H9:K9" si="0">H8/5</f>
        <v>4289.2</v>
      </c>
      <c r="I9" s="51">
        <f t="shared" si="0"/>
        <v>5348</v>
      </c>
      <c r="J9" s="51">
        <f t="shared" si="0"/>
        <v>7018.2</v>
      </c>
      <c r="K9" s="51">
        <f t="shared" si="0"/>
        <v>9878.2000000000007</v>
      </c>
      <c r="L9" s="51">
        <f>L8/3</f>
        <v>11434.333333333334</v>
      </c>
    </row>
    <row r="10" spans="4:24" x14ac:dyDescent="0.3">
      <c r="D10" s="73"/>
      <c r="E10" s="73"/>
      <c r="F10" s="7" t="s">
        <v>12</v>
      </c>
      <c r="G10" s="50">
        <v>24563438</v>
      </c>
      <c r="H10" s="53">
        <v>30364842</v>
      </c>
      <c r="I10" s="53">
        <v>36360806</v>
      </c>
      <c r="J10" s="53">
        <v>40542555</v>
      </c>
      <c r="K10" s="53">
        <v>45083087</v>
      </c>
      <c r="L10" s="53">
        <v>29438550</v>
      </c>
    </row>
    <row r="13" spans="4:24" x14ac:dyDescent="0.3">
      <c r="D13" s="71" t="s">
        <v>18</v>
      </c>
      <c r="E13" s="71"/>
      <c r="F13" s="72"/>
      <c r="G13" s="86" t="s">
        <v>27</v>
      </c>
      <c r="H13" s="87"/>
      <c r="I13" s="87"/>
      <c r="J13" s="87"/>
      <c r="K13" s="87"/>
      <c r="L13" s="87"/>
      <c r="M13" s="88"/>
      <c r="Q13" s="72"/>
      <c r="R13" s="86" t="s">
        <v>27</v>
      </c>
      <c r="S13" s="87"/>
      <c r="T13" s="87"/>
      <c r="U13" s="87"/>
      <c r="V13" s="87"/>
      <c r="W13" s="87"/>
      <c r="X13" s="88"/>
    </row>
    <row r="14" spans="4:24" x14ac:dyDescent="0.3">
      <c r="D14" s="73" t="s">
        <v>20</v>
      </c>
      <c r="E14" s="73"/>
      <c r="F14" s="72"/>
      <c r="G14" s="12" t="s">
        <v>15</v>
      </c>
      <c r="H14" s="1" t="s">
        <v>0</v>
      </c>
      <c r="I14" s="1" t="s">
        <v>1</v>
      </c>
      <c r="J14" s="1" t="s">
        <v>2</v>
      </c>
      <c r="K14" s="1" t="s">
        <v>3</v>
      </c>
      <c r="L14" s="1" t="s">
        <v>4</v>
      </c>
      <c r="M14" s="1" t="s">
        <v>16</v>
      </c>
      <c r="Q14" s="72"/>
      <c r="R14" s="12" t="s">
        <v>15</v>
      </c>
      <c r="S14" s="1" t="s">
        <v>0</v>
      </c>
      <c r="T14" s="1" t="s">
        <v>1</v>
      </c>
      <c r="U14" s="1" t="s">
        <v>2</v>
      </c>
      <c r="V14" s="1" t="s">
        <v>3</v>
      </c>
      <c r="W14" s="1" t="s">
        <v>4</v>
      </c>
      <c r="X14" s="1" t="s">
        <v>16</v>
      </c>
    </row>
    <row r="15" spans="4:24" x14ac:dyDescent="0.3">
      <c r="D15" s="73"/>
      <c r="E15" s="73"/>
      <c r="F15" s="7" t="s">
        <v>13</v>
      </c>
      <c r="G15" s="36">
        <v>75.182628149169901</v>
      </c>
      <c r="H15" s="36">
        <v>77.226832312920038</v>
      </c>
      <c r="I15" s="36">
        <v>67.368409417998436</v>
      </c>
      <c r="J15" s="36">
        <v>73.8247365973359</v>
      </c>
      <c r="K15" s="36">
        <v>82.362469574610586</v>
      </c>
      <c r="L15" s="37">
        <v>91.327098966863375</v>
      </c>
      <c r="M15" s="36">
        <v>100.08420671450315</v>
      </c>
      <c r="Q15" s="7" t="s">
        <v>10</v>
      </c>
      <c r="R15" s="41">
        <v>60.904469220509306</v>
      </c>
      <c r="S15" s="41">
        <v>61.138577822713827</v>
      </c>
      <c r="T15" s="41">
        <v>61.768860467695227</v>
      </c>
      <c r="U15" s="41">
        <v>62.469976211485836</v>
      </c>
      <c r="V15" s="41">
        <v>62.600736382474096</v>
      </c>
      <c r="W15" s="41">
        <v>62.643205791664414</v>
      </c>
      <c r="X15" s="41">
        <v>62.65784079857147</v>
      </c>
    </row>
    <row r="16" spans="4:24" x14ac:dyDescent="0.3">
      <c r="D16" s="73"/>
      <c r="E16" s="73"/>
      <c r="F16" s="7" t="s">
        <v>9</v>
      </c>
      <c r="G16" s="7">
        <v>56</v>
      </c>
      <c r="H16" s="7">
        <v>58</v>
      </c>
      <c r="I16" s="7">
        <v>58</v>
      </c>
      <c r="J16" s="7">
        <v>60</v>
      </c>
      <c r="K16" s="7">
        <v>60</v>
      </c>
      <c r="L16" s="7">
        <v>60</v>
      </c>
      <c r="M16" s="7">
        <v>62</v>
      </c>
      <c r="O16">
        <f>CORREL(G17:M17,G15:M15)</f>
        <v>0.57762595266683037</v>
      </c>
      <c r="Q16" s="7" t="s">
        <v>9</v>
      </c>
      <c r="R16" s="7">
        <v>56</v>
      </c>
      <c r="S16" s="7">
        <v>58</v>
      </c>
      <c r="T16" s="7">
        <v>58</v>
      </c>
      <c r="U16" s="7">
        <v>60</v>
      </c>
      <c r="V16" s="7">
        <v>60</v>
      </c>
      <c r="W16" s="7">
        <v>60</v>
      </c>
      <c r="X16" s="7">
        <v>62</v>
      </c>
    </row>
    <row r="17" spans="4:24" x14ac:dyDescent="0.3">
      <c r="D17" s="73"/>
      <c r="E17" s="73"/>
      <c r="F17" s="7" t="s">
        <v>10</v>
      </c>
      <c r="G17" s="41">
        <v>60.904469220509306</v>
      </c>
      <c r="H17" s="41">
        <v>61.138577822713827</v>
      </c>
      <c r="I17" s="41">
        <v>61.768860467695227</v>
      </c>
      <c r="J17" s="41">
        <v>62.469976211485836</v>
      </c>
      <c r="K17" s="41">
        <v>62.600736382474096</v>
      </c>
      <c r="L17" s="41">
        <v>62.643205791664414</v>
      </c>
      <c r="M17" s="41">
        <v>62.65784079857147</v>
      </c>
    </row>
    <row r="18" spans="4:24" x14ac:dyDescent="0.3">
      <c r="D18" s="73"/>
      <c r="E18" s="73"/>
      <c r="F18" s="7" t="s">
        <v>14</v>
      </c>
      <c r="G18" s="3">
        <v>5895</v>
      </c>
      <c r="H18" s="7">
        <v>7263</v>
      </c>
      <c r="I18" s="7">
        <v>7675</v>
      </c>
      <c r="J18" s="3">
        <v>10283</v>
      </c>
      <c r="K18" s="3">
        <v>14551</v>
      </c>
      <c r="L18" s="3">
        <v>20174</v>
      </c>
      <c r="M18" s="3">
        <v>21367</v>
      </c>
    </row>
    <row r="19" spans="4:24" x14ac:dyDescent="0.3">
      <c r="D19" s="73"/>
      <c r="E19" s="73"/>
      <c r="F19" s="7" t="s">
        <v>11</v>
      </c>
      <c r="G19" s="7">
        <f>G18/5</f>
        <v>1179</v>
      </c>
      <c r="H19" s="7">
        <f t="shared" ref="H19:L19" si="1">H18/5</f>
        <v>1452.6</v>
      </c>
      <c r="I19" s="7">
        <f t="shared" si="1"/>
        <v>1535</v>
      </c>
      <c r="J19" s="7">
        <f t="shared" si="1"/>
        <v>2056.6</v>
      </c>
      <c r="K19" s="7">
        <f t="shared" si="1"/>
        <v>2910.2</v>
      </c>
      <c r="L19" s="7">
        <f t="shared" si="1"/>
        <v>4034.8</v>
      </c>
      <c r="M19" s="7">
        <f>M18/4</f>
        <v>5341.75</v>
      </c>
    </row>
    <row r="20" spans="4:24" x14ac:dyDescent="0.3">
      <c r="D20" s="73"/>
      <c r="E20" s="73"/>
      <c r="F20" s="7" t="s">
        <v>12</v>
      </c>
      <c r="G20" s="40">
        <v>9951481</v>
      </c>
      <c r="H20" s="40">
        <v>11446640</v>
      </c>
      <c r="I20" s="40">
        <v>13391085</v>
      </c>
      <c r="J20" s="40">
        <v>15675396</v>
      </c>
      <c r="K20" s="40">
        <v>18566184</v>
      </c>
      <c r="L20" s="40">
        <v>22017283</v>
      </c>
      <c r="M20" s="40">
        <v>20525875</v>
      </c>
    </row>
    <row r="23" spans="4:24" x14ac:dyDescent="0.3">
      <c r="D23" s="71" t="s">
        <v>18</v>
      </c>
      <c r="E23" s="71"/>
      <c r="F23" s="72"/>
      <c r="G23" s="86" t="s">
        <v>27</v>
      </c>
      <c r="H23" s="87"/>
      <c r="I23" s="87"/>
      <c r="J23" s="87"/>
      <c r="K23" s="87"/>
      <c r="L23" s="87"/>
      <c r="M23" s="88"/>
    </row>
    <row r="24" spans="4:24" x14ac:dyDescent="0.3">
      <c r="D24" s="73" t="s">
        <v>21</v>
      </c>
      <c r="E24" s="73"/>
      <c r="F24" s="72"/>
      <c r="G24" s="12" t="s">
        <v>15</v>
      </c>
      <c r="H24" s="1" t="s">
        <v>0</v>
      </c>
      <c r="I24" s="1" t="s">
        <v>1</v>
      </c>
      <c r="J24" s="1" t="s">
        <v>2</v>
      </c>
      <c r="K24" s="1" t="s">
        <v>3</v>
      </c>
      <c r="L24" s="1" t="s">
        <v>4</v>
      </c>
      <c r="M24" s="1" t="s">
        <v>16</v>
      </c>
      <c r="Q24" s="72"/>
      <c r="R24" s="86" t="s">
        <v>27</v>
      </c>
      <c r="S24" s="87"/>
      <c r="T24" s="87"/>
      <c r="U24" s="87"/>
      <c r="V24" s="87"/>
      <c r="W24" s="87"/>
      <c r="X24" s="88"/>
    </row>
    <row r="25" spans="4:24" x14ac:dyDescent="0.3">
      <c r="D25" s="73"/>
      <c r="E25" s="73"/>
      <c r="F25" s="7" t="s">
        <v>13</v>
      </c>
      <c r="G25" s="20">
        <v>78.981920104529436</v>
      </c>
      <c r="H25" s="36">
        <v>82.761158350218892</v>
      </c>
      <c r="I25" s="36">
        <v>83.582825944513644</v>
      </c>
      <c r="J25" s="36">
        <v>86.044745268786215</v>
      </c>
      <c r="K25" s="36">
        <v>92.21248290698793</v>
      </c>
      <c r="L25" s="37">
        <v>94.120359677411528</v>
      </c>
      <c r="M25" s="36">
        <v>99.587309857403184</v>
      </c>
      <c r="Q25" s="72"/>
      <c r="R25" s="12" t="s">
        <v>15</v>
      </c>
      <c r="S25" s="1" t="s">
        <v>0</v>
      </c>
      <c r="T25" s="1" t="s">
        <v>1</v>
      </c>
      <c r="U25" s="1" t="s">
        <v>2</v>
      </c>
      <c r="V25" s="1" t="s">
        <v>3</v>
      </c>
      <c r="W25" s="1" t="s">
        <v>4</v>
      </c>
      <c r="X25" s="1" t="s">
        <v>16</v>
      </c>
    </row>
    <row r="26" spans="4:24" x14ac:dyDescent="0.3">
      <c r="D26" s="73"/>
      <c r="E26" s="73"/>
      <c r="F26" s="7" t="s">
        <v>9</v>
      </c>
      <c r="G26" s="7">
        <v>55</v>
      </c>
      <c r="H26" s="7">
        <v>55</v>
      </c>
      <c r="I26" s="7">
        <v>57</v>
      </c>
      <c r="J26" s="7">
        <v>57</v>
      </c>
      <c r="K26" s="7">
        <v>58</v>
      </c>
      <c r="L26" s="7">
        <v>60</v>
      </c>
      <c r="M26" s="7">
        <v>60</v>
      </c>
      <c r="Q26" s="7" t="s">
        <v>10</v>
      </c>
      <c r="R26" s="3">
        <v>58</v>
      </c>
      <c r="S26" s="3">
        <v>59</v>
      </c>
      <c r="T26" s="3">
        <v>60</v>
      </c>
      <c r="U26" s="3">
        <v>59</v>
      </c>
      <c r="V26" s="3">
        <v>60</v>
      </c>
      <c r="W26" s="3">
        <v>61</v>
      </c>
      <c r="X26" s="3">
        <v>62</v>
      </c>
    </row>
    <row r="27" spans="4:24" x14ac:dyDescent="0.3">
      <c r="D27" s="73"/>
      <c r="E27" s="73"/>
      <c r="F27" s="7" t="s">
        <v>10</v>
      </c>
      <c r="G27" s="3">
        <v>58</v>
      </c>
      <c r="H27" s="3">
        <v>59</v>
      </c>
      <c r="I27" s="3">
        <v>60</v>
      </c>
      <c r="J27" s="3">
        <v>59</v>
      </c>
      <c r="K27" s="3">
        <v>60</v>
      </c>
      <c r="L27" s="3">
        <v>61</v>
      </c>
      <c r="M27" s="3">
        <v>62</v>
      </c>
      <c r="O27">
        <f>CORREL(G27:M27,G25:M25)</f>
        <v>0.92624427259341247</v>
      </c>
      <c r="Q27" s="7" t="s">
        <v>9</v>
      </c>
      <c r="R27" s="7">
        <v>55</v>
      </c>
      <c r="S27" s="7">
        <v>55</v>
      </c>
      <c r="T27" s="7">
        <v>57</v>
      </c>
      <c r="U27" s="7">
        <v>57</v>
      </c>
      <c r="V27" s="7">
        <v>58</v>
      </c>
      <c r="W27" s="7">
        <v>60</v>
      </c>
      <c r="X27" s="7">
        <v>60</v>
      </c>
    </row>
    <row r="28" spans="4:24" x14ac:dyDescent="0.3">
      <c r="D28" s="73"/>
      <c r="E28" s="73"/>
      <c r="F28" s="7" t="s">
        <v>14</v>
      </c>
      <c r="G28" s="7">
        <v>6729</v>
      </c>
      <c r="H28" s="7">
        <v>7929</v>
      </c>
      <c r="I28" s="7">
        <v>9026</v>
      </c>
      <c r="J28" s="7">
        <v>10439</v>
      </c>
      <c r="K28" s="7">
        <v>12330</v>
      </c>
      <c r="L28" s="7">
        <v>13789</v>
      </c>
      <c r="M28" s="3">
        <v>12630</v>
      </c>
    </row>
    <row r="29" spans="4:24" x14ac:dyDescent="0.3">
      <c r="D29" s="73"/>
      <c r="E29" s="73"/>
      <c r="F29" s="7" t="s">
        <v>11</v>
      </c>
      <c r="G29" s="38">
        <f>G28/5</f>
        <v>1345.8</v>
      </c>
      <c r="H29" s="38">
        <f t="shared" ref="H29:L29" si="2">H28/5</f>
        <v>1585.8</v>
      </c>
      <c r="I29" s="38">
        <f t="shared" si="2"/>
        <v>1805.2</v>
      </c>
      <c r="J29" s="38">
        <f t="shared" si="2"/>
        <v>2087.8000000000002</v>
      </c>
      <c r="K29" s="38">
        <f t="shared" si="2"/>
        <v>2466</v>
      </c>
      <c r="L29" s="38">
        <f t="shared" si="2"/>
        <v>2757.8</v>
      </c>
      <c r="M29" s="38">
        <f>M28/4</f>
        <v>3157.5</v>
      </c>
    </row>
    <row r="30" spans="4:24" x14ac:dyDescent="0.3">
      <c r="D30" s="73"/>
      <c r="E30" s="73"/>
      <c r="F30" s="7" t="s">
        <v>12</v>
      </c>
      <c r="G30" s="40">
        <v>9370944</v>
      </c>
      <c r="H30" s="40">
        <v>10074451</v>
      </c>
      <c r="I30" s="17">
        <v>10656255</v>
      </c>
      <c r="J30" s="17">
        <v>11164995</v>
      </c>
      <c r="K30" s="40">
        <v>11462838</v>
      </c>
      <c r="L30" s="40">
        <v>11759331</v>
      </c>
      <c r="M30" s="17">
        <v>9626085</v>
      </c>
    </row>
    <row r="33" spans="4:24" x14ac:dyDescent="0.3">
      <c r="D33" s="71" t="s">
        <v>18</v>
      </c>
      <c r="E33" s="71"/>
      <c r="F33" s="72"/>
      <c r="G33" s="86" t="s">
        <v>27</v>
      </c>
      <c r="H33" s="87"/>
      <c r="I33" s="87"/>
      <c r="J33" s="87"/>
      <c r="K33" s="87"/>
      <c r="L33" s="87"/>
      <c r="M33" s="88"/>
    </row>
    <row r="34" spans="4:24" x14ac:dyDescent="0.3">
      <c r="D34" s="73" t="s">
        <v>23</v>
      </c>
      <c r="E34" s="73"/>
      <c r="F34" s="72"/>
      <c r="G34" s="12" t="s">
        <v>15</v>
      </c>
      <c r="H34" s="1" t="s">
        <v>0</v>
      </c>
      <c r="I34" s="1" t="s">
        <v>1</v>
      </c>
      <c r="J34" s="1" t="s">
        <v>2</v>
      </c>
      <c r="K34" s="1" t="s">
        <v>3</v>
      </c>
      <c r="L34" s="1" t="s">
        <v>4</v>
      </c>
      <c r="M34" s="1" t="s">
        <v>16</v>
      </c>
      <c r="Q34" s="72"/>
      <c r="R34" s="86" t="s">
        <v>27</v>
      </c>
      <c r="S34" s="87"/>
      <c r="T34" s="87"/>
      <c r="U34" s="87"/>
      <c r="V34" s="87"/>
      <c r="W34" s="87"/>
      <c r="X34" s="88"/>
    </row>
    <row r="35" spans="4:24" x14ac:dyDescent="0.3">
      <c r="D35" s="73"/>
      <c r="E35" s="73"/>
      <c r="F35" s="7" t="s">
        <v>13</v>
      </c>
      <c r="G35" s="20">
        <v>90.451137405670195</v>
      </c>
      <c r="H35" s="66">
        <v>90.29754855214415</v>
      </c>
      <c r="I35" s="66">
        <v>83.779940808451116</v>
      </c>
      <c r="J35" s="66">
        <v>77.38853855646866</v>
      </c>
      <c r="K35" s="66">
        <v>78.222316633681558</v>
      </c>
      <c r="L35" s="37">
        <v>85.229358089106867</v>
      </c>
      <c r="M35" s="66">
        <v>85.480801033543614</v>
      </c>
      <c r="Q35" s="72"/>
      <c r="R35" s="12" t="s">
        <v>15</v>
      </c>
      <c r="S35" s="1" t="s">
        <v>0</v>
      </c>
      <c r="T35" s="1" t="s">
        <v>1</v>
      </c>
      <c r="U35" s="1" t="s">
        <v>2</v>
      </c>
      <c r="V35" s="1" t="s">
        <v>3</v>
      </c>
      <c r="W35" s="1" t="s">
        <v>4</v>
      </c>
      <c r="X35" s="1" t="s">
        <v>16</v>
      </c>
    </row>
    <row r="36" spans="4:24" x14ac:dyDescent="0.3">
      <c r="D36" s="73"/>
      <c r="E36" s="73"/>
      <c r="F36" s="7" t="s">
        <v>9</v>
      </c>
      <c r="G36" s="7">
        <v>55</v>
      </c>
      <c r="H36" s="7">
        <v>56</v>
      </c>
      <c r="I36" s="7">
        <v>58</v>
      </c>
      <c r="J36" s="7">
        <v>59</v>
      </c>
      <c r="K36" s="7">
        <v>60</v>
      </c>
      <c r="L36" s="7">
        <v>61</v>
      </c>
      <c r="M36" s="7">
        <v>62</v>
      </c>
      <c r="O36">
        <f>CORREL(G37:M37,G35:M35)</f>
        <v>-0.35080355590488876</v>
      </c>
      <c r="Q36" s="7" t="s">
        <v>10</v>
      </c>
      <c r="R36" s="41">
        <v>60.904469220509306</v>
      </c>
      <c r="S36" s="41">
        <v>61.138577822713827</v>
      </c>
      <c r="T36" s="41">
        <v>61.768860467695227</v>
      </c>
      <c r="U36" s="41">
        <v>62.469976211485836</v>
      </c>
      <c r="V36" s="41">
        <v>62.600736382474096</v>
      </c>
      <c r="W36" s="41">
        <v>62.643205791664414</v>
      </c>
      <c r="X36" s="41">
        <v>65</v>
      </c>
    </row>
    <row r="37" spans="4:24" x14ac:dyDescent="0.3">
      <c r="D37" s="73"/>
      <c r="E37" s="73"/>
      <c r="F37" s="7" t="s">
        <v>10</v>
      </c>
      <c r="G37" s="41">
        <v>60.904469220509306</v>
      </c>
      <c r="H37" s="41">
        <v>61.138577822713827</v>
      </c>
      <c r="I37" s="41">
        <v>61.768860467695227</v>
      </c>
      <c r="J37" s="41">
        <v>62.469976211485836</v>
      </c>
      <c r="K37" s="41">
        <v>62.600736382474096</v>
      </c>
      <c r="L37" s="41">
        <v>62.643205791664414</v>
      </c>
      <c r="M37" s="41">
        <v>65</v>
      </c>
      <c r="Q37" s="7" t="s">
        <v>9</v>
      </c>
      <c r="R37" s="7">
        <v>55</v>
      </c>
      <c r="S37" s="7">
        <v>56</v>
      </c>
      <c r="T37" s="7">
        <v>58</v>
      </c>
      <c r="U37" s="7">
        <v>59</v>
      </c>
      <c r="V37" s="7">
        <v>60</v>
      </c>
      <c r="W37" s="7">
        <v>61</v>
      </c>
      <c r="X37" s="7">
        <v>62</v>
      </c>
    </row>
    <row r="38" spans="4:24" x14ac:dyDescent="0.3">
      <c r="D38" s="73"/>
      <c r="E38" s="73"/>
      <c r="F38" s="7" t="s">
        <v>14</v>
      </c>
      <c r="G38" s="3">
        <v>17801</v>
      </c>
      <c r="H38" s="3">
        <v>20232</v>
      </c>
      <c r="I38" s="7">
        <v>21606</v>
      </c>
      <c r="J38" s="7">
        <v>22940</v>
      </c>
      <c r="K38" s="7">
        <v>26249</v>
      </c>
      <c r="L38" s="3">
        <v>31753</v>
      </c>
      <c r="M38" s="7">
        <v>27855</v>
      </c>
    </row>
    <row r="39" spans="4:24" x14ac:dyDescent="0.3">
      <c r="D39" s="73"/>
      <c r="E39" s="73"/>
      <c r="F39" s="7" t="s">
        <v>11</v>
      </c>
      <c r="G39" s="38">
        <f>G38/5</f>
        <v>3560.2</v>
      </c>
      <c r="H39" s="38">
        <f t="shared" ref="H39:L39" si="3">H38/5</f>
        <v>4046.4</v>
      </c>
      <c r="I39" s="38">
        <f t="shared" si="3"/>
        <v>4321.2</v>
      </c>
      <c r="J39" s="38">
        <f t="shared" si="3"/>
        <v>4588</v>
      </c>
      <c r="K39" s="38">
        <f t="shared" si="3"/>
        <v>5249.8</v>
      </c>
      <c r="L39" s="38">
        <f t="shared" si="3"/>
        <v>6350.6</v>
      </c>
      <c r="M39" s="38">
        <f>M38/4</f>
        <v>6963.75</v>
      </c>
    </row>
    <row r="40" spans="4:24" x14ac:dyDescent="0.3">
      <c r="D40" s="73"/>
      <c r="E40" s="73"/>
      <c r="F40" s="7" t="s">
        <v>12</v>
      </c>
      <c r="G40" s="40">
        <v>25751371</v>
      </c>
      <c r="H40" s="40">
        <v>28033039</v>
      </c>
      <c r="I40" s="17">
        <v>30854203</v>
      </c>
      <c r="J40" s="17">
        <v>33085355</v>
      </c>
      <c r="K40" s="40">
        <v>33402988</v>
      </c>
      <c r="L40" s="40">
        <v>33644225</v>
      </c>
      <c r="M40" s="17">
        <v>27090243</v>
      </c>
    </row>
    <row r="43" spans="4:24" x14ac:dyDescent="0.3">
      <c r="D43" s="71" t="s">
        <v>18</v>
      </c>
      <c r="E43" s="71"/>
      <c r="F43" s="72"/>
      <c r="G43" s="72" t="s">
        <v>27</v>
      </c>
      <c r="H43" s="72"/>
      <c r="I43" s="72"/>
      <c r="J43" s="72"/>
      <c r="K43" s="72"/>
      <c r="L43" s="72"/>
    </row>
    <row r="44" spans="4:24" x14ac:dyDescent="0.3">
      <c r="D44" s="73" t="s">
        <v>24</v>
      </c>
      <c r="E44" s="73"/>
      <c r="F44" s="72"/>
      <c r="G44" s="1" t="s">
        <v>0</v>
      </c>
      <c r="H44" s="1" t="s">
        <v>1</v>
      </c>
      <c r="I44" s="1" t="s">
        <v>2</v>
      </c>
      <c r="J44" s="1" t="s">
        <v>3</v>
      </c>
      <c r="K44" s="1" t="s">
        <v>4</v>
      </c>
      <c r="L44" s="1" t="s">
        <v>25</v>
      </c>
      <c r="Q44" s="72"/>
      <c r="R44" s="72" t="s">
        <v>27</v>
      </c>
      <c r="S44" s="72"/>
      <c r="T44" s="72"/>
      <c r="U44" s="72"/>
      <c r="V44" s="72"/>
      <c r="W44" s="72"/>
    </row>
    <row r="45" spans="4:24" x14ac:dyDescent="0.3">
      <c r="D45" s="73"/>
      <c r="E45" s="73"/>
      <c r="F45" s="7" t="s">
        <v>9</v>
      </c>
      <c r="G45" s="50">
        <v>60</v>
      </c>
      <c r="H45" s="50">
        <v>60</v>
      </c>
      <c r="I45" s="50">
        <v>60</v>
      </c>
      <c r="J45" s="50">
        <v>60</v>
      </c>
      <c r="K45" s="50">
        <v>64</v>
      </c>
      <c r="L45" s="50">
        <v>65</v>
      </c>
      <c r="Q45" s="72"/>
      <c r="R45" s="1" t="s">
        <v>0</v>
      </c>
      <c r="S45" s="1" t="s">
        <v>1</v>
      </c>
      <c r="T45" s="1" t="s">
        <v>2</v>
      </c>
      <c r="U45" s="1" t="s">
        <v>3</v>
      </c>
      <c r="V45" s="1" t="s">
        <v>4</v>
      </c>
      <c r="W45" s="1" t="s">
        <v>25</v>
      </c>
    </row>
    <row r="46" spans="4:24" x14ac:dyDescent="0.3">
      <c r="D46" s="73"/>
      <c r="E46" s="73"/>
      <c r="F46" s="7" t="s">
        <v>10</v>
      </c>
      <c r="G46" s="45">
        <v>60.501006821529273</v>
      </c>
      <c r="H46" s="45">
        <v>57.85793907124382</v>
      </c>
      <c r="I46" s="45">
        <v>56.822154781556009</v>
      </c>
      <c r="J46" s="45">
        <v>57.186167811692897</v>
      </c>
      <c r="K46" s="45">
        <v>59.094634404423473</v>
      </c>
      <c r="L46" s="45">
        <v>59.954720660988322</v>
      </c>
      <c r="N46">
        <f>CORREL(G46:L46,G47:L47)</f>
        <v>-0.27290328360625699</v>
      </c>
    </row>
    <row r="47" spans="4:24" x14ac:dyDescent="0.3">
      <c r="D47" s="73"/>
      <c r="E47" s="73"/>
      <c r="F47" s="7" t="s">
        <v>13</v>
      </c>
      <c r="G47" s="46">
        <v>37.418683885434227</v>
      </c>
      <c r="H47" s="46">
        <v>35.179864286385957</v>
      </c>
      <c r="I47" s="47">
        <v>40.336570379000889</v>
      </c>
      <c r="J47" s="47">
        <v>43.984064799152186</v>
      </c>
      <c r="K47" s="46">
        <v>41.321424633363307</v>
      </c>
      <c r="L47" s="46">
        <v>40.43987017950333</v>
      </c>
      <c r="Q47" s="7" t="s">
        <v>10</v>
      </c>
      <c r="R47" s="45">
        <v>60.501006821529273</v>
      </c>
      <c r="S47" s="45">
        <v>57.85793907124382</v>
      </c>
      <c r="T47" s="45">
        <v>56.822154781556009</v>
      </c>
      <c r="U47" s="45">
        <v>57.186167811692897</v>
      </c>
      <c r="V47" s="45">
        <v>59.094634404423473</v>
      </c>
      <c r="W47" s="45">
        <v>59.954720660988322</v>
      </c>
    </row>
    <row r="48" spans="4:24" x14ac:dyDescent="0.3">
      <c r="D48" s="73"/>
      <c r="E48" s="73"/>
      <c r="F48" s="7" t="s">
        <v>14</v>
      </c>
      <c r="G48" s="48">
        <v>452</v>
      </c>
      <c r="H48" s="44">
        <v>471</v>
      </c>
      <c r="I48" s="44">
        <v>547</v>
      </c>
      <c r="J48" s="44">
        <v>657</v>
      </c>
      <c r="K48" s="44">
        <v>711</v>
      </c>
      <c r="L48" s="44">
        <v>779</v>
      </c>
      <c r="Q48" s="7" t="s">
        <v>9</v>
      </c>
      <c r="R48" s="50">
        <v>60</v>
      </c>
      <c r="S48" s="50">
        <v>60</v>
      </c>
      <c r="T48" s="50">
        <v>60</v>
      </c>
      <c r="U48" s="50">
        <v>60</v>
      </c>
      <c r="V48" s="50">
        <v>64</v>
      </c>
      <c r="W48" s="50">
        <v>65</v>
      </c>
    </row>
    <row r="49" spans="4:23" x14ac:dyDescent="0.3">
      <c r="D49" s="73"/>
      <c r="E49" s="73"/>
      <c r="F49" s="7" t="s">
        <v>11</v>
      </c>
      <c r="G49" s="45">
        <f>G48/5</f>
        <v>90.4</v>
      </c>
      <c r="H49" s="45">
        <f t="shared" ref="H49:L49" si="4">H48/5</f>
        <v>94.2</v>
      </c>
      <c r="I49" s="45">
        <f t="shared" si="4"/>
        <v>109.4</v>
      </c>
      <c r="J49" s="45">
        <f t="shared" si="4"/>
        <v>131.4</v>
      </c>
      <c r="K49" s="45">
        <f t="shared" si="4"/>
        <v>142.19999999999999</v>
      </c>
      <c r="L49" s="45">
        <f t="shared" si="4"/>
        <v>155.80000000000001</v>
      </c>
    </row>
    <row r="50" spans="4:23" x14ac:dyDescent="0.3">
      <c r="D50" s="73"/>
      <c r="E50" s="73"/>
      <c r="F50" s="7" t="s">
        <v>12</v>
      </c>
      <c r="G50" s="44">
        <v>1168684</v>
      </c>
      <c r="H50" s="49">
        <v>1233046</v>
      </c>
      <c r="I50" s="49">
        <v>1196000</v>
      </c>
      <c r="J50" s="49">
        <v>1240935</v>
      </c>
      <c r="K50" s="49">
        <v>1316169</v>
      </c>
      <c r="L50" s="49">
        <v>1395971</v>
      </c>
    </row>
    <row r="53" spans="4:23" x14ac:dyDescent="0.3">
      <c r="D53" s="71" t="s">
        <v>18</v>
      </c>
      <c r="E53" s="71"/>
      <c r="F53" s="72"/>
      <c r="G53" s="72" t="s">
        <v>27</v>
      </c>
      <c r="H53" s="72"/>
      <c r="I53" s="72"/>
      <c r="J53" s="72"/>
      <c r="K53" s="72"/>
      <c r="L53" s="72"/>
      <c r="Q53" s="72"/>
      <c r="R53" s="72" t="s">
        <v>27</v>
      </c>
      <c r="S53" s="72"/>
      <c r="T53" s="72"/>
      <c r="U53" s="72"/>
      <c r="V53" s="72"/>
      <c r="W53" s="72"/>
    </row>
    <row r="54" spans="4:23" x14ac:dyDescent="0.3">
      <c r="D54" s="73" t="s">
        <v>26</v>
      </c>
      <c r="E54" s="73"/>
      <c r="F54" s="72"/>
      <c r="G54" s="1" t="s">
        <v>0</v>
      </c>
      <c r="H54" s="1" t="s">
        <v>1</v>
      </c>
      <c r="I54" s="1" t="s">
        <v>2</v>
      </c>
      <c r="J54" s="1" t="s">
        <v>3</v>
      </c>
      <c r="K54" s="1" t="s">
        <v>4</v>
      </c>
      <c r="L54" s="1" t="s">
        <v>25</v>
      </c>
      <c r="Q54" s="72"/>
      <c r="R54" s="1" t="s">
        <v>0</v>
      </c>
      <c r="S54" s="1" t="s">
        <v>1</v>
      </c>
      <c r="T54" s="1" t="s">
        <v>2</v>
      </c>
      <c r="U54" s="1" t="s">
        <v>3</v>
      </c>
      <c r="V54" s="1" t="s">
        <v>4</v>
      </c>
      <c r="W54" s="1" t="s">
        <v>25</v>
      </c>
    </row>
    <row r="55" spans="4:23" x14ac:dyDescent="0.3">
      <c r="D55" s="73"/>
      <c r="E55" s="73"/>
      <c r="F55" s="7" t="s">
        <v>9</v>
      </c>
      <c r="G55" s="50">
        <v>55</v>
      </c>
      <c r="H55" s="50">
        <v>56</v>
      </c>
      <c r="I55" s="50">
        <v>56</v>
      </c>
      <c r="J55" s="50">
        <v>56</v>
      </c>
      <c r="K55" s="50">
        <v>56</v>
      </c>
      <c r="L55" s="50">
        <v>55</v>
      </c>
    </row>
    <row r="56" spans="4:23" x14ac:dyDescent="0.3">
      <c r="D56" s="73"/>
      <c r="E56" s="73"/>
      <c r="F56" s="7" t="s">
        <v>10</v>
      </c>
      <c r="G56" s="45">
        <v>60.725254333707881</v>
      </c>
      <c r="H56" s="45">
        <v>60.659165360170604</v>
      </c>
      <c r="I56" s="45">
        <v>60.053937894464887</v>
      </c>
      <c r="J56" s="45">
        <v>60.093253157910759</v>
      </c>
      <c r="K56" s="45">
        <v>58.703078324379398</v>
      </c>
      <c r="L56" s="45">
        <v>57.622660099823172</v>
      </c>
      <c r="N56">
        <f>CORREL(G56:L56,G57:L57)</f>
        <v>-0.91855465913411838</v>
      </c>
      <c r="Q56" s="7" t="s">
        <v>10</v>
      </c>
      <c r="R56" s="45">
        <v>60.725254333707881</v>
      </c>
      <c r="S56" s="45">
        <v>60.659165360170604</v>
      </c>
      <c r="T56" s="45">
        <v>60.053937894464887</v>
      </c>
      <c r="U56" s="45">
        <v>60.093253157910759</v>
      </c>
      <c r="V56" s="45">
        <v>58.703078324379398</v>
      </c>
      <c r="W56" s="45">
        <v>57.622660099823172</v>
      </c>
    </row>
    <row r="57" spans="4:23" x14ac:dyDescent="0.3">
      <c r="D57" s="73"/>
      <c r="E57" s="73"/>
      <c r="F57" s="7" t="s">
        <v>13</v>
      </c>
      <c r="G57" s="46">
        <v>78.41435118507097</v>
      </c>
      <c r="H57" s="46">
        <v>80.306282540647629</v>
      </c>
      <c r="I57" s="46">
        <v>79.37226006617918</v>
      </c>
      <c r="J57" s="47">
        <v>79.492688956808948</v>
      </c>
      <c r="K57" s="46">
        <v>82.372023849786132</v>
      </c>
      <c r="L57" s="46">
        <v>90.471844298171831</v>
      </c>
      <c r="Q57" s="7" t="s">
        <v>9</v>
      </c>
      <c r="R57" s="50">
        <v>55</v>
      </c>
      <c r="S57" s="50">
        <v>56</v>
      </c>
      <c r="T57" s="50">
        <v>56</v>
      </c>
      <c r="U57" s="50">
        <v>56</v>
      </c>
      <c r="V57" s="50">
        <v>56</v>
      </c>
      <c r="W57" s="50">
        <v>55</v>
      </c>
    </row>
    <row r="58" spans="4:23" x14ac:dyDescent="0.3">
      <c r="D58" s="73"/>
      <c r="E58" s="73"/>
      <c r="F58" s="7" t="s">
        <v>14</v>
      </c>
      <c r="G58" s="44">
        <v>1700</v>
      </c>
      <c r="H58" s="44">
        <v>2151</v>
      </c>
      <c r="I58" s="44">
        <v>2658</v>
      </c>
      <c r="J58" s="44">
        <v>3340</v>
      </c>
      <c r="K58" s="44">
        <v>4254</v>
      </c>
      <c r="L58" s="44">
        <v>5619</v>
      </c>
    </row>
    <row r="59" spans="4:23" x14ac:dyDescent="0.3">
      <c r="D59" s="73"/>
      <c r="E59" s="73"/>
      <c r="F59" s="7" t="s">
        <v>11</v>
      </c>
      <c r="G59" s="45">
        <f>G58/5</f>
        <v>340</v>
      </c>
      <c r="H59" s="45">
        <f t="shared" ref="H59:L59" si="5">H58/5</f>
        <v>430.2</v>
      </c>
      <c r="I59" s="45">
        <f t="shared" si="5"/>
        <v>531.6</v>
      </c>
      <c r="J59" s="45">
        <f t="shared" si="5"/>
        <v>668</v>
      </c>
      <c r="K59" s="45">
        <f t="shared" si="5"/>
        <v>850.8</v>
      </c>
      <c r="L59" s="45">
        <f t="shared" si="5"/>
        <v>1123.8</v>
      </c>
    </row>
    <row r="60" spans="4:23" x14ac:dyDescent="0.3">
      <c r="D60" s="73"/>
      <c r="E60" s="73"/>
      <c r="F60" s="7" t="s">
        <v>12</v>
      </c>
      <c r="G60" s="56">
        <v>2973790</v>
      </c>
      <c r="H60" s="56">
        <v>3485067</v>
      </c>
      <c r="I60" s="56">
        <v>4034976</v>
      </c>
      <c r="J60" s="56">
        <v>4564620</v>
      </c>
      <c r="K60" s="49">
        <v>5159284</v>
      </c>
      <c r="L60" s="56">
        <v>5831407</v>
      </c>
    </row>
  </sheetData>
  <mergeCells count="36">
    <mergeCell ref="Q2:Q3"/>
    <mergeCell ref="R2:W2"/>
    <mergeCell ref="D43:E43"/>
    <mergeCell ref="F43:F44"/>
    <mergeCell ref="G43:L43"/>
    <mergeCell ref="D44:E50"/>
    <mergeCell ref="D3:E3"/>
    <mergeCell ref="F3:F4"/>
    <mergeCell ref="G3:L3"/>
    <mergeCell ref="D4:E10"/>
    <mergeCell ref="D13:E13"/>
    <mergeCell ref="F13:F14"/>
    <mergeCell ref="G13:M13"/>
    <mergeCell ref="D14:E20"/>
    <mergeCell ref="Q13:Q14"/>
    <mergeCell ref="R13:X13"/>
    <mergeCell ref="D23:E23"/>
    <mergeCell ref="F23:F24"/>
    <mergeCell ref="G23:M23"/>
    <mergeCell ref="D24:E30"/>
    <mergeCell ref="D33:E33"/>
    <mergeCell ref="F33:F34"/>
    <mergeCell ref="G33:M33"/>
    <mergeCell ref="D34:E40"/>
    <mergeCell ref="Q24:Q25"/>
    <mergeCell ref="R24:X24"/>
    <mergeCell ref="Q34:Q35"/>
    <mergeCell ref="R34:X34"/>
    <mergeCell ref="D53:E53"/>
    <mergeCell ref="F53:F54"/>
    <mergeCell ref="G53:L53"/>
    <mergeCell ref="D54:E60"/>
    <mergeCell ref="Q44:Q45"/>
    <mergeCell ref="R44:W44"/>
    <mergeCell ref="Q53:Q54"/>
    <mergeCell ref="R53:W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6516-03E5-4121-89F2-9DA4D22FEA61}">
  <dimension ref="H2:L12"/>
  <sheetViews>
    <sheetView workbookViewId="0">
      <selection activeCell="O10" sqref="O10"/>
    </sheetView>
  </sheetViews>
  <sheetFormatPr defaultRowHeight="14.4" x14ac:dyDescent="0.3"/>
  <cols>
    <col min="3" max="3" width="9.88671875" bestFit="1" customWidth="1"/>
    <col min="4" max="4" width="10" bestFit="1" customWidth="1"/>
    <col min="8" max="8" width="9.88671875" bestFit="1" customWidth="1"/>
  </cols>
  <sheetData>
    <row r="2" spans="8:12" x14ac:dyDescent="0.3">
      <c r="I2" s="80" t="s">
        <v>32</v>
      </c>
      <c r="J2" s="80"/>
      <c r="K2" s="80"/>
    </row>
    <row r="3" spans="8:12" x14ac:dyDescent="0.3">
      <c r="H3" s="80" t="s">
        <v>31</v>
      </c>
      <c r="I3" s="80"/>
      <c r="J3" s="80"/>
      <c r="K3" s="80"/>
      <c r="L3" s="80"/>
    </row>
    <row r="5" spans="8:12" x14ac:dyDescent="0.3">
      <c r="H5" s="3" t="s">
        <v>30</v>
      </c>
      <c r="I5" s="3" t="s">
        <v>6</v>
      </c>
      <c r="J5" s="3" t="s">
        <v>7</v>
      </c>
      <c r="K5" s="3" t="s">
        <v>8</v>
      </c>
      <c r="L5" s="3" t="s">
        <v>27</v>
      </c>
    </row>
    <row r="6" spans="8:12" x14ac:dyDescent="0.3">
      <c r="H6" s="3"/>
      <c r="I6" s="72" t="s">
        <v>29</v>
      </c>
      <c r="J6" s="72"/>
      <c r="K6" s="72"/>
      <c r="L6" s="72"/>
    </row>
    <row r="7" spans="8:12" x14ac:dyDescent="0.3">
      <c r="H7" s="3" t="s">
        <v>28</v>
      </c>
      <c r="I7" s="41">
        <v>-0.9686258939614063</v>
      </c>
      <c r="J7" s="41">
        <v>0.4165177381246114</v>
      </c>
      <c r="K7" s="41">
        <v>0.92168306155617941</v>
      </c>
      <c r="L7" s="41">
        <v>0.730708435544137</v>
      </c>
    </row>
    <row r="8" spans="8:12" x14ac:dyDescent="0.3">
      <c r="H8" s="3" t="s">
        <v>20</v>
      </c>
      <c r="I8" s="41">
        <v>-0.95547474473680338</v>
      </c>
      <c r="J8" s="41">
        <v>0.43835264910653576</v>
      </c>
      <c r="K8" s="41">
        <v>0.20259486418156386</v>
      </c>
      <c r="L8" s="41">
        <v>0.57762595266683037</v>
      </c>
    </row>
    <row r="9" spans="8:12" x14ac:dyDescent="0.3">
      <c r="H9" s="3" t="s">
        <v>21</v>
      </c>
      <c r="I9" s="41">
        <v>-0.96665302000535569</v>
      </c>
      <c r="J9" s="41">
        <v>0.63374079132609307</v>
      </c>
      <c r="K9" s="41">
        <v>0.8899783657431416</v>
      </c>
      <c r="L9" s="41">
        <v>0.92624427259341247</v>
      </c>
    </row>
    <row r="10" spans="8:12" x14ac:dyDescent="0.3">
      <c r="H10" s="3" t="s">
        <v>23</v>
      </c>
      <c r="I10" s="41">
        <v>-0.98390613927511705</v>
      </c>
      <c r="J10" s="41">
        <v>-0.8343478488917383</v>
      </c>
      <c r="K10" s="41">
        <v>0.51822776476612609</v>
      </c>
      <c r="L10" s="41">
        <v>-0.35080355590488876</v>
      </c>
    </row>
    <row r="11" spans="8:12" x14ac:dyDescent="0.3">
      <c r="H11" s="3" t="s">
        <v>24</v>
      </c>
      <c r="I11" s="41">
        <v>-0.64178743974929509</v>
      </c>
      <c r="J11" s="41">
        <v>-3.6498493598521378E-2</v>
      </c>
      <c r="K11" s="41">
        <v>-5.3080371237136097E-2</v>
      </c>
      <c r="L11" s="41">
        <v>-0.27290328360625699</v>
      </c>
    </row>
    <row r="12" spans="8:12" x14ac:dyDescent="0.3">
      <c r="H12" s="3" t="s">
        <v>26</v>
      </c>
      <c r="I12" s="41">
        <v>-0.89543049758268056</v>
      </c>
      <c r="J12" s="41">
        <v>-0.14605000256981196</v>
      </c>
      <c r="K12" s="41">
        <v>-0.64498640237445704</v>
      </c>
      <c r="L12" s="41">
        <v>-0.91855465913411838</v>
      </c>
    </row>
  </sheetData>
  <mergeCells count="3">
    <mergeCell ref="I6:L6"/>
    <mergeCell ref="H3:L3"/>
    <mergeCell ref="I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3BC7-2DC6-4F81-9A81-A2D692BBBF42}">
  <dimension ref="C3:Z77"/>
  <sheetViews>
    <sheetView tabSelected="1" topLeftCell="E58" workbookViewId="0">
      <selection activeCell="S71" sqref="S71:Y75"/>
    </sheetView>
  </sheetViews>
  <sheetFormatPr defaultRowHeight="14.4" x14ac:dyDescent="0.3"/>
  <cols>
    <col min="4" max="4" width="0.77734375" customWidth="1"/>
    <col min="5" max="5" width="16.109375" customWidth="1"/>
    <col min="6" max="6" width="9" customWidth="1"/>
    <col min="7" max="12" width="9.6640625" bestFit="1" customWidth="1"/>
    <col min="16" max="16" width="9.6640625" bestFit="1" customWidth="1"/>
    <col min="17" max="17" width="11.109375" customWidth="1"/>
    <col min="18" max="18" width="2.6640625" hidden="1" customWidth="1"/>
    <col min="19" max="19" width="17.77734375" bestFit="1" customWidth="1"/>
    <col min="20" max="25" width="9.6640625" bestFit="1" customWidth="1"/>
  </cols>
  <sheetData>
    <row r="3" spans="3:25" x14ac:dyDescent="0.3">
      <c r="C3" s="74" t="s">
        <v>18</v>
      </c>
      <c r="D3" s="74"/>
      <c r="E3" s="75"/>
      <c r="F3" s="76" t="s">
        <v>6</v>
      </c>
      <c r="G3" s="77"/>
      <c r="H3" s="77"/>
      <c r="I3" s="77"/>
      <c r="J3" s="77"/>
      <c r="K3" s="77"/>
      <c r="L3" s="78"/>
    </row>
    <row r="4" spans="3:25" x14ac:dyDescent="0.3">
      <c r="C4" s="79" t="s">
        <v>23</v>
      </c>
      <c r="D4" s="79"/>
      <c r="E4" s="75"/>
      <c r="F4" s="69" t="s">
        <v>36</v>
      </c>
      <c r="G4" s="70" t="s">
        <v>37</v>
      </c>
      <c r="H4" s="70" t="s">
        <v>38</v>
      </c>
      <c r="I4" s="70" t="s">
        <v>39</v>
      </c>
      <c r="J4" s="70" t="s">
        <v>40</v>
      </c>
      <c r="K4" s="70" t="s">
        <v>41</v>
      </c>
      <c r="L4" s="70" t="s">
        <v>42</v>
      </c>
    </row>
    <row r="5" spans="3:25" x14ac:dyDescent="0.3">
      <c r="C5" s="79"/>
      <c r="D5" s="79"/>
      <c r="E5" s="68" t="s">
        <v>34</v>
      </c>
      <c r="F5" s="50">
        <v>54</v>
      </c>
      <c r="G5" s="50">
        <v>54</v>
      </c>
      <c r="H5" s="50">
        <v>55</v>
      </c>
      <c r="I5" s="50">
        <v>54</v>
      </c>
      <c r="J5" s="50">
        <v>53</v>
      </c>
      <c r="K5" s="50">
        <v>54</v>
      </c>
      <c r="L5" s="50">
        <v>54</v>
      </c>
      <c r="Q5" s="71" t="s">
        <v>18</v>
      </c>
      <c r="R5" s="71"/>
      <c r="S5" s="72"/>
      <c r="T5" s="72" t="s">
        <v>6</v>
      </c>
      <c r="U5" s="72"/>
      <c r="V5" s="72"/>
      <c r="W5" s="72"/>
      <c r="X5" s="72"/>
      <c r="Y5" s="72"/>
    </row>
    <row r="6" spans="3:25" x14ac:dyDescent="0.3">
      <c r="C6" s="79"/>
      <c r="D6" s="79"/>
      <c r="E6" s="68" t="s">
        <v>35</v>
      </c>
      <c r="F6" s="51">
        <v>60.432031342337616</v>
      </c>
      <c r="G6" s="51">
        <v>60.831708673106355</v>
      </c>
      <c r="H6" s="51">
        <v>61.334422998033681</v>
      </c>
      <c r="I6" s="51">
        <v>61.135956954696944</v>
      </c>
      <c r="J6" s="51">
        <v>59.479217720159809</v>
      </c>
      <c r="K6" s="51">
        <v>58.332332448618352</v>
      </c>
      <c r="L6" s="51">
        <v>57</v>
      </c>
      <c r="Q6" s="73" t="s">
        <v>19</v>
      </c>
      <c r="R6" s="73"/>
      <c r="S6" s="72"/>
      <c r="T6" s="1" t="s">
        <v>0</v>
      </c>
      <c r="U6" s="1" t="s">
        <v>1</v>
      </c>
      <c r="V6" s="1" t="s">
        <v>2</v>
      </c>
      <c r="W6" s="1" t="s">
        <v>3</v>
      </c>
      <c r="X6" s="1" t="s">
        <v>4</v>
      </c>
      <c r="Y6" s="1" t="s">
        <v>5</v>
      </c>
    </row>
    <row r="7" spans="3:25" x14ac:dyDescent="0.3">
      <c r="C7" s="79"/>
      <c r="D7" s="79"/>
      <c r="E7" s="68" t="s">
        <v>13</v>
      </c>
      <c r="F7" s="47">
        <v>9.12013833966469</v>
      </c>
      <c r="G7" s="57">
        <v>8.7894444101139033</v>
      </c>
      <c r="H7" s="57">
        <v>8.2843281348268611</v>
      </c>
      <c r="I7" s="57">
        <v>8.9650224375689778</v>
      </c>
      <c r="J7" s="57">
        <v>9.6747727812005895</v>
      </c>
      <c r="K7" s="54">
        <v>11.534591163592413</v>
      </c>
      <c r="L7" s="57">
        <v>12.789583734379075</v>
      </c>
      <c r="Q7" s="73"/>
      <c r="R7" s="73"/>
      <c r="S7" s="7" t="s">
        <v>9</v>
      </c>
      <c r="T7" s="50">
        <v>55</v>
      </c>
      <c r="U7" s="50">
        <v>55</v>
      </c>
      <c r="V7" s="50">
        <v>55</v>
      </c>
      <c r="W7" s="50">
        <v>54</v>
      </c>
      <c r="X7" s="50">
        <v>53</v>
      </c>
      <c r="Y7" s="50">
        <v>52</v>
      </c>
    </row>
    <row r="8" spans="3:25" x14ac:dyDescent="0.3">
      <c r="C8" s="79"/>
      <c r="D8" s="79"/>
      <c r="E8" s="68" t="s">
        <v>14</v>
      </c>
      <c r="F8" s="44">
        <v>1901</v>
      </c>
      <c r="G8" s="50">
        <v>2101</v>
      </c>
      <c r="H8" s="50">
        <v>2265</v>
      </c>
      <c r="I8" s="50">
        <v>2841</v>
      </c>
      <c r="J8" s="50">
        <v>3466</v>
      </c>
      <c r="K8" s="50">
        <v>4541</v>
      </c>
      <c r="L8" s="50">
        <v>4351</v>
      </c>
      <c r="Q8" s="73"/>
      <c r="R8" s="73"/>
      <c r="S8" s="7" t="s">
        <v>10</v>
      </c>
      <c r="T8" s="51">
        <v>59.385738329214341</v>
      </c>
      <c r="U8" s="51">
        <v>59.247745171706754</v>
      </c>
      <c r="V8" s="51">
        <v>59.096195293245586</v>
      </c>
      <c r="W8" s="51">
        <v>57.753667830858923</v>
      </c>
      <c r="X8" s="51">
        <v>56.780887842452088</v>
      </c>
      <c r="Y8" s="51">
        <v>55.017623311489032</v>
      </c>
    </row>
    <row r="9" spans="3:25" x14ac:dyDescent="0.3">
      <c r="C9" s="79"/>
      <c r="D9" s="79"/>
      <c r="E9" s="68" t="s">
        <v>11</v>
      </c>
      <c r="F9" s="51">
        <f>F8/5</f>
        <v>380.2</v>
      </c>
      <c r="G9" s="51">
        <f t="shared" ref="G9:K9" si="0">G8/5</f>
        <v>420.2</v>
      </c>
      <c r="H9" s="51">
        <f t="shared" si="0"/>
        <v>453</v>
      </c>
      <c r="I9" s="51">
        <f t="shared" si="0"/>
        <v>568.20000000000005</v>
      </c>
      <c r="J9" s="51">
        <f t="shared" si="0"/>
        <v>693.2</v>
      </c>
      <c r="K9" s="51">
        <f t="shared" si="0"/>
        <v>908.2</v>
      </c>
      <c r="L9" s="51">
        <f>L8/4</f>
        <v>1087.75</v>
      </c>
      <c r="Q9" s="73"/>
      <c r="R9" s="73"/>
      <c r="S9" s="7" t="s">
        <v>13</v>
      </c>
      <c r="T9" s="52">
        <v>7.4929438435286198</v>
      </c>
      <c r="U9" s="52">
        <v>7.7209003911681391</v>
      </c>
      <c r="V9" s="52">
        <v>8.0091091908514542</v>
      </c>
      <c r="W9" s="52">
        <v>11.249698320311065</v>
      </c>
      <c r="X9" s="52">
        <v>14.930335854599999</v>
      </c>
      <c r="Y9" s="52">
        <v>15.843164650788898</v>
      </c>
    </row>
    <row r="10" spans="3:25" x14ac:dyDescent="0.3">
      <c r="C10" s="79"/>
      <c r="D10" s="79"/>
      <c r="E10" s="68" t="s">
        <v>12</v>
      </c>
      <c r="F10" s="55">
        <v>25751371</v>
      </c>
      <c r="G10" s="55">
        <v>28033039</v>
      </c>
      <c r="H10" s="56">
        <v>30854203</v>
      </c>
      <c r="I10" s="56">
        <v>33085355</v>
      </c>
      <c r="J10" s="53">
        <v>33402988</v>
      </c>
      <c r="K10" s="53">
        <v>33644225</v>
      </c>
      <c r="L10" s="56">
        <v>27090243</v>
      </c>
      <c r="Q10" s="73"/>
      <c r="R10" s="73"/>
      <c r="S10" s="7" t="s">
        <v>14</v>
      </c>
      <c r="T10" s="50">
        <v>1394</v>
      </c>
      <c r="U10" s="50">
        <v>1790</v>
      </c>
      <c r="V10" s="50">
        <v>2360</v>
      </c>
      <c r="W10" s="50">
        <v>4170</v>
      </c>
      <c r="X10" s="50">
        <v>6734</v>
      </c>
      <c r="Y10" s="50">
        <v>4995</v>
      </c>
    </row>
    <row r="11" spans="3:25" x14ac:dyDescent="0.3">
      <c r="Q11" s="73"/>
      <c r="R11" s="73"/>
      <c r="S11" s="7" t="s">
        <v>11</v>
      </c>
      <c r="T11" s="51">
        <f>T10/5</f>
        <v>278.8</v>
      </c>
      <c r="U11" s="50">
        <f>U10/5</f>
        <v>358</v>
      </c>
      <c r="V11" s="50">
        <f>V10/5</f>
        <v>472</v>
      </c>
      <c r="W11" s="50">
        <f>W10/5</f>
        <v>834</v>
      </c>
      <c r="X11" s="51">
        <f>X10/5</f>
        <v>1346.8</v>
      </c>
      <c r="Y11" s="50">
        <f>Y10/3</f>
        <v>1665</v>
      </c>
    </row>
    <row r="12" spans="3:25" x14ac:dyDescent="0.3">
      <c r="Q12" s="73"/>
      <c r="R12" s="73"/>
      <c r="S12" s="7" t="s">
        <v>12</v>
      </c>
      <c r="T12" s="50">
        <v>24563438</v>
      </c>
      <c r="U12" s="53">
        <v>30364842</v>
      </c>
      <c r="V12" s="53">
        <v>36360806</v>
      </c>
      <c r="W12" s="53">
        <v>40542555</v>
      </c>
      <c r="X12" s="53">
        <v>45083087</v>
      </c>
      <c r="Y12" s="53">
        <v>29438550</v>
      </c>
    </row>
    <row r="15" spans="3:25" x14ac:dyDescent="0.3">
      <c r="M15" t="s">
        <v>19</v>
      </c>
    </row>
    <row r="16" spans="3:25" x14ac:dyDescent="0.3">
      <c r="J16" s="72"/>
      <c r="K16" s="72" t="s">
        <v>6</v>
      </c>
      <c r="L16" s="72"/>
      <c r="M16" s="72"/>
      <c r="N16" s="72"/>
      <c r="O16" s="72"/>
      <c r="P16" s="72"/>
      <c r="S16" s="72"/>
      <c r="T16" s="72" t="s">
        <v>6</v>
      </c>
      <c r="U16" s="72"/>
      <c r="V16" s="72"/>
      <c r="W16" s="72"/>
      <c r="X16" s="72"/>
      <c r="Y16" s="72"/>
    </row>
    <row r="17" spans="6:26" x14ac:dyDescent="0.3">
      <c r="J17" s="72"/>
      <c r="K17" s="1" t="s">
        <v>0</v>
      </c>
      <c r="L17" s="1" t="s">
        <v>1</v>
      </c>
      <c r="M17" s="1" t="s">
        <v>2</v>
      </c>
      <c r="N17" s="1" t="s">
        <v>3</v>
      </c>
      <c r="O17" s="1" t="s">
        <v>4</v>
      </c>
      <c r="P17" s="1" t="s">
        <v>5</v>
      </c>
      <c r="S17" s="72"/>
      <c r="T17" s="1" t="s">
        <v>0</v>
      </c>
      <c r="U17" s="1" t="s">
        <v>1</v>
      </c>
      <c r="V17" s="1" t="s">
        <v>2</v>
      </c>
      <c r="W17" s="1" t="s">
        <v>3</v>
      </c>
      <c r="X17" s="1" t="s">
        <v>4</v>
      </c>
      <c r="Y17" s="1" t="s">
        <v>5</v>
      </c>
    </row>
    <row r="18" spans="6:26" x14ac:dyDescent="0.3">
      <c r="J18" s="7" t="s">
        <v>6</v>
      </c>
      <c r="K18" s="51">
        <v>59.385738329214341</v>
      </c>
      <c r="L18" s="51">
        <v>59.247745171706754</v>
      </c>
      <c r="M18" s="51">
        <v>59.096195293245586</v>
      </c>
      <c r="N18" s="51">
        <v>57.753667830858923</v>
      </c>
      <c r="O18" s="51">
        <v>56.780887842452088</v>
      </c>
      <c r="P18" s="51">
        <v>55.017623311489032</v>
      </c>
      <c r="S18" s="7"/>
      <c r="T18" s="51"/>
      <c r="U18" s="51"/>
      <c r="V18" s="51"/>
      <c r="W18" s="51"/>
      <c r="X18" s="51"/>
      <c r="Y18" s="51"/>
      <c r="Z18" s="51"/>
    </row>
    <row r="19" spans="6:26" x14ac:dyDescent="0.3">
      <c r="J19" t="s">
        <v>7</v>
      </c>
      <c r="K19" s="51">
        <v>61.831392033873314</v>
      </c>
      <c r="L19" s="51">
        <v>62.340396367067669</v>
      </c>
      <c r="M19" s="51">
        <v>62.613899096254492</v>
      </c>
      <c r="N19" s="51">
        <v>63.284570339734373</v>
      </c>
      <c r="O19" s="51">
        <v>63.766185060751233</v>
      </c>
      <c r="P19" s="51">
        <v>64</v>
      </c>
      <c r="S19" s="7"/>
      <c r="T19" s="38"/>
      <c r="U19" s="38"/>
      <c r="V19" s="38"/>
      <c r="W19" s="38"/>
      <c r="X19" s="38"/>
      <c r="Y19" s="38"/>
      <c r="Z19" s="38"/>
    </row>
    <row r="20" spans="6:26" x14ac:dyDescent="0.3">
      <c r="J20" t="s">
        <v>8</v>
      </c>
      <c r="K20" s="2">
        <v>70.784161839925346</v>
      </c>
      <c r="L20" s="2">
        <v>70.713994438298002</v>
      </c>
      <c r="M20" s="2">
        <v>70.945933691496009</v>
      </c>
      <c r="N20" s="2">
        <v>71.694828479829411</v>
      </c>
      <c r="O20" s="2">
        <v>71.342083159846894</v>
      </c>
      <c r="P20" s="2">
        <v>72</v>
      </c>
    </row>
    <row r="23" spans="6:26" x14ac:dyDescent="0.3">
      <c r="F23" s="71" t="s">
        <v>18</v>
      </c>
      <c r="G23" s="71"/>
      <c r="H23" s="72"/>
      <c r="I23" s="86" t="s">
        <v>6</v>
      </c>
      <c r="J23" s="87"/>
      <c r="K23" s="87"/>
      <c r="L23" s="87"/>
      <c r="M23" s="87"/>
      <c r="N23" s="87"/>
      <c r="O23" s="88"/>
      <c r="S23" s="72"/>
      <c r="T23" s="86" t="s">
        <v>6</v>
      </c>
      <c r="U23" s="87"/>
      <c r="V23" s="87"/>
      <c r="W23" s="87"/>
      <c r="X23" s="87"/>
      <c r="Y23" s="87"/>
      <c r="Z23" s="88"/>
    </row>
    <row r="24" spans="6:26" x14ac:dyDescent="0.3">
      <c r="F24" s="73" t="s">
        <v>20</v>
      </c>
      <c r="G24" s="73"/>
      <c r="H24" s="72"/>
      <c r="I24" s="12" t="s">
        <v>15</v>
      </c>
      <c r="J24" s="1" t="s">
        <v>0</v>
      </c>
      <c r="K24" s="1" t="s">
        <v>1</v>
      </c>
      <c r="L24" s="1" t="s">
        <v>2</v>
      </c>
      <c r="M24" s="1" t="s">
        <v>3</v>
      </c>
      <c r="N24" s="1" t="s">
        <v>4</v>
      </c>
      <c r="O24" s="1" t="s">
        <v>16</v>
      </c>
      <c r="S24" s="72"/>
      <c r="T24" s="12" t="s">
        <v>15</v>
      </c>
      <c r="U24" s="1" t="s">
        <v>0</v>
      </c>
      <c r="V24" s="1" t="s">
        <v>1</v>
      </c>
      <c r="W24" s="1" t="s">
        <v>2</v>
      </c>
      <c r="X24" s="1" t="s">
        <v>3</v>
      </c>
      <c r="Y24" s="1" t="s">
        <v>4</v>
      </c>
      <c r="Z24" s="1" t="s">
        <v>16</v>
      </c>
    </row>
    <row r="25" spans="6:26" x14ac:dyDescent="0.3">
      <c r="F25" s="73"/>
      <c r="G25" s="73"/>
      <c r="H25" s="7" t="s">
        <v>9</v>
      </c>
      <c r="I25" s="50">
        <v>57</v>
      </c>
      <c r="J25" s="50">
        <v>57</v>
      </c>
      <c r="K25" s="50">
        <v>58</v>
      </c>
      <c r="L25" s="50">
        <v>58</v>
      </c>
      <c r="M25" s="50">
        <v>56</v>
      </c>
      <c r="N25" s="50">
        <v>55</v>
      </c>
      <c r="O25" s="50">
        <v>56</v>
      </c>
      <c r="S25" s="7" t="s">
        <v>6</v>
      </c>
      <c r="T25" s="51">
        <v>60.432031342337616</v>
      </c>
      <c r="U25" s="51">
        <v>60.831708673106355</v>
      </c>
      <c r="V25" s="51">
        <v>61.334422998033681</v>
      </c>
      <c r="W25" s="51">
        <v>61.135956954696944</v>
      </c>
      <c r="X25" s="51">
        <v>59.479217720159809</v>
      </c>
      <c r="Y25" s="51">
        <v>58.332332448618352</v>
      </c>
      <c r="Z25" s="51">
        <v>57.732080691579846</v>
      </c>
    </row>
    <row r="26" spans="6:26" x14ac:dyDescent="0.3">
      <c r="F26" s="73"/>
      <c r="G26" s="73"/>
      <c r="H26" s="7" t="s">
        <v>10</v>
      </c>
      <c r="I26" s="51">
        <v>60.432031342337616</v>
      </c>
      <c r="J26" s="51">
        <v>60.831708673106355</v>
      </c>
      <c r="K26" s="51">
        <v>61.334422998033681</v>
      </c>
      <c r="L26" s="51">
        <v>61.135956954696944</v>
      </c>
      <c r="M26" s="51">
        <v>59.479217720159809</v>
      </c>
      <c r="N26" s="51">
        <v>58.332332448618352</v>
      </c>
      <c r="O26" s="51">
        <v>57.732080691579846</v>
      </c>
      <c r="S26" s="7" t="s">
        <v>7</v>
      </c>
      <c r="T26" s="38">
        <v>62.238568295546919</v>
      </c>
      <c r="U26" s="38">
        <v>63.07096615096598</v>
      </c>
      <c r="V26" s="38">
        <v>63.979261171043419</v>
      </c>
      <c r="W26" s="38">
        <v>65.336917267971685</v>
      </c>
      <c r="X26" s="38">
        <v>65.521266993572468</v>
      </c>
      <c r="Y26" s="38">
        <v>65.252687436860029</v>
      </c>
      <c r="Z26" s="38">
        <v>65.33717887269998</v>
      </c>
    </row>
    <row r="27" spans="6:26" x14ac:dyDescent="0.3">
      <c r="F27" s="73"/>
      <c r="G27" s="73"/>
      <c r="H27" s="7" t="s">
        <v>13</v>
      </c>
      <c r="I27" s="52">
        <v>5.1119710143249399</v>
      </c>
      <c r="J27" s="52">
        <v>4.8294912336889295</v>
      </c>
      <c r="K27" s="52">
        <v>4.3995216623612281</v>
      </c>
      <c r="L27" s="52">
        <v>4.5895345426796768</v>
      </c>
      <c r="M27" s="52">
        <v>5.9227397584887598</v>
      </c>
      <c r="N27" s="54">
        <v>7.2246228755449993</v>
      </c>
      <c r="O27" s="52">
        <v>9.6521581476929832</v>
      </c>
      <c r="S27" s="7" t="s">
        <v>8</v>
      </c>
      <c r="T27" s="2">
        <v>70.592023499584243</v>
      </c>
      <c r="U27" s="2">
        <v>70.758561589657532</v>
      </c>
      <c r="V27" s="2">
        <v>71.740554838111578</v>
      </c>
      <c r="W27" s="2">
        <v>73.077506995186013</v>
      </c>
      <c r="X27" s="2">
        <v>71.752301052363279</v>
      </c>
      <c r="Y27" s="2">
        <v>72.052381676820261</v>
      </c>
      <c r="Z27" s="2">
        <v>71.022535046831294</v>
      </c>
    </row>
    <row r="28" spans="6:26" x14ac:dyDescent="0.3">
      <c r="F28" s="73"/>
      <c r="G28" s="73"/>
      <c r="H28" s="7" t="s">
        <v>14</v>
      </c>
      <c r="I28" s="50">
        <v>396</v>
      </c>
      <c r="J28" s="50">
        <v>451</v>
      </c>
      <c r="K28" s="50">
        <v>494</v>
      </c>
      <c r="L28" s="50">
        <v>646</v>
      </c>
      <c r="M28" s="50">
        <v>1086</v>
      </c>
      <c r="N28" s="50">
        <v>1671</v>
      </c>
      <c r="O28" s="50">
        <v>2162</v>
      </c>
    </row>
    <row r="29" spans="6:26" x14ac:dyDescent="0.3">
      <c r="F29" s="73"/>
      <c r="G29" s="73"/>
      <c r="H29" s="7" t="s">
        <v>11</v>
      </c>
      <c r="I29" s="50">
        <f>I28/5</f>
        <v>79.2</v>
      </c>
      <c r="J29" s="50">
        <f t="shared" ref="J29:N29" si="1">J28/5</f>
        <v>90.2</v>
      </c>
      <c r="K29" s="50">
        <f t="shared" si="1"/>
        <v>98.8</v>
      </c>
      <c r="L29" s="50">
        <f t="shared" si="1"/>
        <v>129.19999999999999</v>
      </c>
      <c r="M29" s="50">
        <f t="shared" si="1"/>
        <v>217.2</v>
      </c>
      <c r="N29" s="50">
        <f t="shared" si="1"/>
        <v>334.2</v>
      </c>
      <c r="O29" s="50">
        <f>O28/4</f>
        <v>540.5</v>
      </c>
    </row>
    <row r="30" spans="6:26" x14ac:dyDescent="0.3">
      <c r="F30" s="73"/>
      <c r="G30" s="73"/>
      <c r="H30" s="7" t="s">
        <v>12</v>
      </c>
      <c r="I30" s="55">
        <v>9951481</v>
      </c>
      <c r="J30" s="55">
        <v>11446640</v>
      </c>
      <c r="K30" s="55">
        <v>13391085</v>
      </c>
      <c r="L30" s="55">
        <v>15675396</v>
      </c>
      <c r="M30" s="53">
        <v>18566184</v>
      </c>
      <c r="N30" s="53">
        <v>22017283</v>
      </c>
      <c r="O30" s="55">
        <v>20525875</v>
      </c>
    </row>
    <row r="35" spans="6:26" x14ac:dyDescent="0.3">
      <c r="F35" s="71" t="s">
        <v>18</v>
      </c>
      <c r="G35" s="71"/>
      <c r="H35" s="72"/>
      <c r="I35" s="86" t="s">
        <v>6</v>
      </c>
      <c r="J35" s="87"/>
      <c r="K35" s="87"/>
      <c r="L35" s="87"/>
      <c r="M35" s="87"/>
      <c r="N35" s="87"/>
      <c r="O35" s="88"/>
      <c r="S35" s="72"/>
      <c r="T35" s="86" t="s">
        <v>6</v>
      </c>
      <c r="U35" s="87"/>
      <c r="V35" s="87"/>
      <c r="W35" s="87"/>
      <c r="X35" s="87"/>
      <c r="Y35" s="87"/>
      <c r="Z35" s="88"/>
    </row>
    <row r="36" spans="6:26" x14ac:dyDescent="0.3">
      <c r="F36" s="73" t="s">
        <v>21</v>
      </c>
      <c r="G36" s="73"/>
      <c r="H36" s="72"/>
      <c r="I36" s="12" t="s">
        <v>15</v>
      </c>
      <c r="J36" s="1" t="s">
        <v>0</v>
      </c>
      <c r="K36" s="1" t="s">
        <v>1</v>
      </c>
      <c r="L36" s="1" t="s">
        <v>2</v>
      </c>
      <c r="M36" s="1" t="s">
        <v>3</v>
      </c>
      <c r="N36" s="1" t="s">
        <v>4</v>
      </c>
      <c r="O36" s="1" t="s">
        <v>16</v>
      </c>
      <c r="S36" s="72"/>
      <c r="T36" s="12" t="s">
        <v>15</v>
      </c>
      <c r="U36" s="1" t="s">
        <v>0</v>
      </c>
      <c r="V36" s="1" t="s">
        <v>1</v>
      </c>
      <c r="W36" s="1" t="s">
        <v>2</v>
      </c>
      <c r="X36" s="1" t="s">
        <v>3</v>
      </c>
      <c r="Y36" s="1" t="s">
        <v>4</v>
      </c>
      <c r="Z36" s="1" t="s">
        <v>16</v>
      </c>
    </row>
    <row r="37" spans="6:26" x14ac:dyDescent="0.3">
      <c r="F37" s="73"/>
      <c r="G37" s="73"/>
      <c r="H37" s="7" t="s">
        <v>9</v>
      </c>
      <c r="I37" s="50">
        <v>55</v>
      </c>
      <c r="J37" s="50">
        <v>57</v>
      </c>
      <c r="K37" s="50">
        <v>58</v>
      </c>
      <c r="L37" s="50">
        <v>55</v>
      </c>
      <c r="M37" s="50">
        <v>55</v>
      </c>
      <c r="N37" s="50">
        <v>52</v>
      </c>
      <c r="O37" s="50">
        <v>52</v>
      </c>
      <c r="S37" s="7" t="s">
        <v>6</v>
      </c>
      <c r="T37" s="51">
        <v>59</v>
      </c>
      <c r="U37" s="51">
        <v>60</v>
      </c>
      <c r="V37" s="51">
        <v>60</v>
      </c>
      <c r="W37" s="51">
        <v>58</v>
      </c>
      <c r="X37" s="51">
        <v>57</v>
      </c>
      <c r="Y37" s="51">
        <v>53</v>
      </c>
      <c r="Z37" s="51">
        <v>52</v>
      </c>
    </row>
    <row r="38" spans="6:26" x14ac:dyDescent="0.3">
      <c r="F38" s="73"/>
      <c r="G38" s="73"/>
      <c r="H38" s="7" t="s">
        <v>10</v>
      </c>
      <c r="I38" s="51">
        <v>59</v>
      </c>
      <c r="J38" s="51">
        <v>60</v>
      </c>
      <c r="K38" s="51">
        <v>60</v>
      </c>
      <c r="L38" s="51">
        <v>58</v>
      </c>
      <c r="M38" s="51">
        <v>57</v>
      </c>
      <c r="N38" s="51">
        <v>53</v>
      </c>
      <c r="O38" s="51">
        <v>52</v>
      </c>
      <c r="S38" s="7" t="s">
        <v>7</v>
      </c>
      <c r="T38" s="7">
        <v>59</v>
      </c>
      <c r="U38" s="7">
        <v>60</v>
      </c>
      <c r="V38" s="7">
        <v>60</v>
      </c>
      <c r="W38" s="7">
        <v>62</v>
      </c>
      <c r="X38" s="7">
        <v>62</v>
      </c>
      <c r="Y38" s="7">
        <v>64</v>
      </c>
      <c r="Z38" s="7">
        <v>65</v>
      </c>
    </row>
    <row r="39" spans="6:26" x14ac:dyDescent="0.3">
      <c r="F39" s="73"/>
      <c r="G39" s="73"/>
      <c r="H39" s="7" t="s">
        <v>13</v>
      </c>
      <c r="I39" s="48">
        <v>9.5</v>
      </c>
      <c r="J39" s="52">
        <v>8.7552555395601193</v>
      </c>
      <c r="K39" s="52">
        <v>8.5738443313349197</v>
      </c>
      <c r="L39" s="52">
        <v>8.8962704317208665</v>
      </c>
      <c r="M39" s="52">
        <v>10.273665805209543</v>
      </c>
      <c r="N39" s="54">
        <v>12.861090032935731</v>
      </c>
      <c r="O39" s="52">
        <v>15.059218566781132</v>
      </c>
      <c r="S39" s="7" t="s">
        <v>8</v>
      </c>
      <c r="T39" s="5">
        <v>70</v>
      </c>
      <c r="U39" s="5">
        <v>71</v>
      </c>
      <c r="V39" s="5">
        <v>72</v>
      </c>
      <c r="W39" s="5">
        <v>71</v>
      </c>
      <c r="X39" s="5">
        <v>72</v>
      </c>
      <c r="Y39" s="5">
        <v>73</v>
      </c>
      <c r="Z39" s="5">
        <v>73</v>
      </c>
    </row>
    <row r="40" spans="6:26" x14ac:dyDescent="0.3">
      <c r="F40" s="73"/>
      <c r="G40" s="73"/>
      <c r="H40" s="7" t="s">
        <v>14</v>
      </c>
      <c r="I40" s="50">
        <v>64</v>
      </c>
      <c r="J40" s="50">
        <v>839</v>
      </c>
      <c r="K40" s="50">
        <v>933</v>
      </c>
      <c r="L40" s="50">
        <v>1112</v>
      </c>
      <c r="M40" s="50">
        <v>1426</v>
      </c>
      <c r="N40" s="50">
        <v>1972</v>
      </c>
      <c r="O40" s="50">
        <v>2001</v>
      </c>
    </row>
    <row r="41" spans="6:26" x14ac:dyDescent="0.3">
      <c r="F41" s="73"/>
      <c r="G41" s="73"/>
      <c r="H41" s="7" t="s">
        <v>11</v>
      </c>
      <c r="I41" s="50">
        <f>I40/5</f>
        <v>12.8</v>
      </c>
      <c r="J41" s="50">
        <f t="shared" ref="J41:N41" si="2">J40/5</f>
        <v>167.8</v>
      </c>
      <c r="K41" s="50">
        <f t="shared" si="2"/>
        <v>186.6</v>
      </c>
      <c r="L41" s="50">
        <f t="shared" si="2"/>
        <v>222.4</v>
      </c>
      <c r="M41" s="50">
        <f t="shared" si="2"/>
        <v>285.2</v>
      </c>
      <c r="N41" s="50">
        <f t="shared" si="2"/>
        <v>394.4</v>
      </c>
      <c r="O41" s="50">
        <f>O40/4</f>
        <v>500.25</v>
      </c>
    </row>
    <row r="42" spans="6:26" x14ac:dyDescent="0.3">
      <c r="F42" s="73"/>
      <c r="G42" s="73"/>
      <c r="H42" s="7" t="s">
        <v>12</v>
      </c>
      <c r="I42" s="55">
        <v>9370944</v>
      </c>
      <c r="J42" s="55">
        <v>10074451</v>
      </c>
      <c r="K42" s="56">
        <v>10656255</v>
      </c>
      <c r="L42" s="56">
        <v>11164995</v>
      </c>
      <c r="M42" s="53">
        <v>11462838</v>
      </c>
      <c r="N42" s="53">
        <v>11759331</v>
      </c>
      <c r="O42" s="56">
        <v>9626085</v>
      </c>
    </row>
    <row r="46" spans="6:26" x14ac:dyDescent="0.3">
      <c r="F46" s="71" t="s">
        <v>18</v>
      </c>
      <c r="G46" s="71"/>
      <c r="H46" s="72"/>
      <c r="I46" s="86" t="s">
        <v>6</v>
      </c>
      <c r="J46" s="87"/>
      <c r="K46" s="87"/>
      <c r="L46" s="87"/>
      <c r="M46" s="87"/>
      <c r="N46" s="87"/>
      <c r="O46" s="88"/>
      <c r="S46" s="72"/>
      <c r="T46" s="86" t="s">
        <v>6</v>
      </c>
      <c r="U46" s="87"/>
      <c r="V46" s="87"/>
      <c r="W46" s="87"/>
      <c r="X46" s="87"/>
      <c r="Y46" s="87"/>
      <c r="Z46" s="88"/>
    </row>
    <row r="47" spans="6:26" x14ac:dyDescent="0.3">
      <c r="F47" s="73" t="s">
        <v>23</v>
      </c>
      <c r="G47" s="73"/>
      <c r="H47" s="72"/>
      <c r="I47" s="12" t="s">
        <v>15</v>
      </c>
      <c r="J47" s="1" t="s">
        <v>0</v>
      </c>
      <c r="K47" s="1" t="s">
        <v>1</v>
      </c>
      <c r="L47" s="1" t="s">
        <v>2</v>
      </c>
      <c r="M47" s="1" t="s">
        <v>3</v>
      </c>
      <c r="N47" s="1" t="s">
        <v>4</v>
      </c>
      <c r="O47" s="1" t="s">
        <v>16</v>
      </c>
      <c r="S47" s="72"/>
      <c r="T47" s="12" t="s">
        <v>15</v>
      </c>
      <c r="U47" s="1" t="s">
        <v>0</v>
      </c>
      <c r="V47" s="1" t="s">
        <v>1</v>
      </c>
      <c r="W47" s="1" t="s">
        <v>2</v>
      </c>
      <c r="X47" s="1" t="s">
        <v>3</v>
      </c>
      <c r="Y47" s="1" t="s">
        <v>4</v>
      </c>
      <c r="Z47" s="1" t="s">
        <v>16</v>
      </c>
    </row>
    <row r="48" spans="6:26" x14ac:dyDescent="0.3">
      <c r="F48" s="73"/>
      <c r="G48" s="73"/>
      <c r="H48" s="7" t="s">
        <v>9</v>
      </c>
      <c r="I48" s="50">
        <v>54</v>
      </c>
      <c r="J48" s="50">
        <v>54</v>
      </c>
      <c r="K48" s="50">
        <v>55</v>
      </c>
      <c r="L48" s="50">
        <v>54</v>
      </c>
      <c r="M48" s="50">
        <v>53</v>
      </c>
      <c r="N48" s="50">
        <v>54</v>
      </c>
      <c r="O48" s="50">
        <v>54</v>
      </c>
      <c r="S48" s="7" t="s">
        <v>6</v>
      </c>
      <c r="T48" s="51">
        <v>60.432031342337616</v>
      </c>
      <c r="U48" s="51">
        <v>60.831708673106355</v>
      </c>
      <c r="V48" s="51">
        <v>61.334422998033681</v>
      </c>
      <c r="W48" s="51">
        <v>61.135956954696944</v>
      </c>
      <c r="X48" s="51">
        <v>59.479217720159809</v>
      </c>
      <c r="Y48" s="51">
        <v>58.332332448618352</v>
      </c>
      <c r="Z48" s="51">
        <v>57</v>
      </c>
    </row>
    <row r="49" spans="6:26" x14ac:dyDescent="0.3">
      <c r="F49" s="73"/>
      <c r="G49" s="73"/>
      <c r="H49" s="7" t="s">
        <v>10</v>
      </c>
      <c r="I49" s="51">
        <v>60.432031342337616</v>
      </c>
      <c r="J49" s="51">
        <v>60.831708673106355</v>
      </c>
      <c r="K49" s="51">
        <v>61.334422998033681</v>
      </c>
      <c r="L49" s="51">
        <v>61.135956954696944</v>
      </c>
      <c r="M49" s="51">
        <v>59.479217720159809</v>
      </c>
      <c r="N49" s="51">
        <v>58.332332448618352</v>
      </c>
      <c r="O49" s="51">
        <v>57</v>
      </c>
      <c r="S49" s="7" t="s">
        <v>7</v>
      </c>
      <c r="T49" s="38">
        <v>62.238568295546919</v>
      </c>
      <c r="U49" s="38">
        <v>63.07096615096598</v>
      </c>
      <c r="V49" s="38">
        <v>63.979261171043419</v>
      </c>
      <c r="W49" s="38">
        <v>65.336917267971685</v>
      </c>
      <c r="X49" s="38">
        <v>65.521266993572468</v>
      </c>
      <c r="Y49" s="38">
        <v>65.252687436860029</v>
      </c>
      <c r="Z49" s="38">
        <v>67</v>
      </c>
    </row>
    <row r="50" spans="6:26" x14ac:dyDescent="0.3">
      <c r="F50" s="73"/>
      <c r="G50" s="73"/>
      <c r="H50" s="7" t="s">
        <v>13</v>
      </c>
      <c r="I50" s="47">
        <v>9.12013833966469</v>
      </c>
      <c r="J50" s="57">
        <v>8.7894444101139033</v>
      </c>
      <c r="K50" s="57">
        <v>8.2843281348268611</v>
      </c>
      <c r="L50" s="57">
        <v>8.9650224375689778</v>
      </c>
      <c r="M50" s="57">
        <v>9.6747727812005895</v>
      </c>
      <c r="N50" s="54">
        <v>11.534591163592413</v>
      </c>
      <c r="O50" s="57">
        <v>12.789583734379075</v>
      </c>
      <c r="S50" s="7" t="s">
        <v>8</v>
      </c>
      <c r="T50" s="38">
        <v>70.592023499584243</v>
      </c>
      <c r="U50" s="38">
        <v>70.758561589657532</v>
      </c>
      <c r="V50" s="38">
        <v>71.740554838111578</v>
      </c>
      <c r="W50" s="38">
        <v>73.077506995186013</v>
      </c>
      <c r="X50" s="38">
        <v>71.752301052363279</v>
      </c>
      <c r="Y50" s="38">
        <v>72.052381676820261</v>
      </c>
      <c r="Z50" s="38">
        <v>73</v>
      </c>
    </row>
    <row r="51" spans="6:26" x14ac:dyDescent="0.3">
      <c r="F51" s="73"/>
      <c r="G51" s="73"/>
      <c r="H51" s="7" t="s">
        <v>14</v>
      </c>
      <c r="I51" s="44">
        <v>1901</v>
      </c>
      <c r="J51" s="50">
        <v>2101</v>
      </c>
      <c r="K51" s="50">
        <v>2265</v>
      </c>
      <c r="L51" s="50">
        <v>2841</v>
      </c>
      <c r="M51" s="50">
        <v>3466</v>
      </c>
      <c r="N51" s="50">
        <v>4541</v>
      </c>
      <c r="O51" s="50">
        <v>4351</v>
      </c>
    </row>
    <row r="52" spans="6:26" x14ac:dyDescent="0.3">
      <c r="F52" s="73"/>
      <c r="G52" s="73"/>
      <c r="H52" s="7" t="s">
        <v>11</v>
      </c>
      <c r="I52" s="51">
        <f>I51/5</f>
        <v>380.2</v>
      </c>
      <c r="J52" s="51">
        <f t="shared" ref="J52:N52" si="3">J51/5</f>
        <v>420.2</v>
      </c>
      <c r="K52" s="51">
        <f t="shared" si="3"/>
        <v>453</v>
      </c>
      <c r="L52" s="51">
        <f t="shared" si="3"/>
        <v>568.20000000000005</v>
      </c>
      <c r="M52" s="51">
        <f t="shared" si="3"/>
        <v>693.2</v>
      </c>
      <c r="N52" s="51">
        <f t="shared" si="3"/>
        <v>908.2</v>
      </c>
      <c r="O52" s="51">
        <f>O51/4</f>
        <v>1087.75</v>
      </c>
    </row>
    <row r="53" spans="6:26" x14ac:dyDescent="0.3">
      <c r="F53" s="73"/>
      <c r="G53" s="73"/>
      <c r="H53" s="7" t="s">
        <v>12</v>
      </c>
      <c r="I53" s="55">
        <v>25751371</v>
      </c>
      <c r="J53" s="55">
        <v>28033039</v>
      </c>
      <c r="K53" s="56">
        <v>30854203</v>
      </c>
      <c r="L53" s="56">
        <v>33085355</v>
      </c>
      <c r="M53" s="53">
        <v>33402988</v>
      </c>
      <c r="N53" s="53">
        <v>33644225</v>
      </c>
      <c r="O53" s="56">
        <v>27090243</v>
      </c>
    </row>
    <row r="58" spans="6:26" x14ac:dyDescent="0.3">
      <c r="F58" s="71" t="s">
        <v>18</v>
      </c>
      <c r="G58" s="71"/>
      <c r="H58" s="72"/>
      <c r="I58" s="72" t="s">
        <v>6</v>
      </c>
      <c r="J58" s="72"/>
      <c r="K58" s="72"/>
      <c r="L58" s="72"/>
      <c r="M58" s="72"/>
      <c r="N58" s="72"/>
      <c r="S58" s="72"/>
      <c r="T58" s="72" t="s">
        <v>6</v>
      </c>
      <c r="U58" s="72"/>
      <c r="V58" s="72"/>
      <c r="W58" s="72"/>
      <c r="X58" s="72"/>
      <c r="Y58" s="72"/>
    </row>
    <row r="59" spans="6:26" x14ac:dyDescent="0.3">
      <c r="F59" s="73" t="s">
        <v>24</v>
      </c>
      <c r="G59" s="73"/>
      <c r="H59" s="72"/>
      <c r="I59" s="1" t="s">
        <v>0</v>
      </c>
      <c r="J59" s="1" t="s">
        <v>1</v>
      </c>
      <c r="K59" s="1" t="s">
        <v>2</v>
      </c>
      <c r="L59" s="1" t="s">
        <v>3</v>
      </c>
      <c r="M59" s="1" t="s">
        <v>4</v>
      </c>
      <c r="N59" s="1" t="s">
        <v>25</v>
      </c>
      <c r="S59" s="72"/>
      <c r="T59" s="1" t="s">
        <v>0</v>
      </c>
      <c r="U59" s="1" t="s">
        <v>1</v>
      </c>
      <c r="V59" s="1" t="s">
        <v>2</v>
      </c>
      <c r="W59" s="1" t="s">
        <v>3</v>
      </c>
      <c r="X59" s="1" t="s">
        <v>4</v>
      </c>
      <c r="Y59" s="1" t="s">
        <v>25</v>
      </c>
    </row>
    <row r="60" spans="6:26" x14ac:dyDescent="0.3">
      <c r="F60" s="73"/>
      <c r="G60" s="73"/>
      <c r="H60" s="7" t="s">
        <v>9</v>
      </c>
      <c r="I60" s="3">
        <v>60</v>
      </c>
      <c r="J60" s="3">
        <v>55</v>
      </c>
      <c r="K60" s="3">
        <v>55</v>
      </c>
      <c r="L60" s="3">
        <v>55</v>
      </c>
      <c r="M60" s="3">
        <v>58</v>
      </c>
      <c r="N60" s="3">
        <v>55</v>
      </c>
      <c r="S60" s="7" t="s">
        <v>6</v>
      </c>
      <c r="T60" s="45">
        <v>57.988061415533949</v>
      </c>
      <c r="U60" s="45">
        <v>54.366849108736012</v>
      </c>
      <c r="V60" s="45">
        <v>63.585992152647478</v>
      </c>
      <c r="W60" s="45">
        <v>58.327053928067151</v>
      </c>
      <c r="X60" s="45">
        <v>58.903082999873448</v>
      </c>
      <c r="Y60" s="45">
        <v>57.1249686126326</v>
      </c>
    </row>
    <row r="61" spans="6:26" x14ac:dyDescent="0.3">
      <c r="F61" s="73"/>
      <c r="G61" s="73"/>
      <c r="H61" s="7" t="s">
        <v>10</v>
      </c>
      <c r="I61" s="41">
        <v>59.71919127547357</v>
      </c>
      <c r="J61" s="41">
        <v>54.600867125744223</v>
      </c>
      <c r="K61" s="41">
        <v>55.252553653210562</v>
      </c>
      <c r="L61" s="41">
        <v>52.587176338889179</v>
      </c>
      <c r="M61" s="41">
        <v>52.846171753296339</v>
      </c>
      <c r="N61" s="41">
        <v>51.849437035326858</v>
      </c>
      <c r="S61" s="7" t="s">
        <v>7</v>
      </c>
      <c r="T61" s="41">
        <v>59.71919127547357</v>
      </c>
      <c r="U61" s="41">
        <v>54.600867125744223</v>
      </c>
      <c r="V61" s="41">
        <v>55.252553653210562</v>
      </c>
      <c r="W61" s="41">
        <v>52.587176338889179</v>
      </c>
      <c r="X61" s="41">
        <v>52.846171753296339</v>
      </c>
      <c r="Y61" s="41">
        <v>51.849437035326858</v>
      </c>
    </row>
    <row r="62" spans="6:26" x14ac:dyDescent="0.3">
      <c r="F62" s="73"/>
      <c r="G62" s="73"/>
      <c r="H62" s="7" t="s">
        <v>13</v>
      </c>
      <c r="I62" s="42">
        <v>3.7856262039712729</v>
      </c>
      <c r="J62" s="42">
        <v>3.5986298639212886</v>
      </c>
      <c r="K62" s="42">
        <v>4.0794051783375931</v>
      </c>
      <c r="L62" s="20">
        <v>4.24396472704926</v>
      </c>
      <c r="M62" s="42">
        <v>6.0500073191410406</v>
      </c>
      <c r="N62" s="42">
        <v>6.8299670137098003</v>
      </c>
      <c r="S62" s="7" t="s">
        <v>8</v>
      </c>
      <c r="T62" s="45">
        <v>67.108698702135101</v>
      </c>
      <c r="U62" s="45">
        <v>71.483440975416627</v>
      </c>
      <c r="V62" s="45">
        <v>73.18544030843546</v>
      </c>
      <c r="W62" s="45">
        <v>69.216195604847371</v>
      </c>
      <c r="X62" s="45">
        <v>69.314977938030907</v>
      </c>
      <c r="Y62" s="45">
        <v>70.840176870091142</v>
      </c>
    </row>
    <row r="63" spans="6:26" x14ac:dyDescent="0.3">
      <c r="F63" s="73"/>
      <c r="G63" s="73"/>
      <c r="H63" s="7" t="s">
        <v>14</v>
      </c>
      <c r="I63">
        <v>45</v>
      </c>
      <c r="J63" s="3">
        <v>46</v>
      </c>
      <c r="K63" s="3">
        <v>51</v>
      </c>
      <c r="L63" s="3">
        <v>60</v>
      </c>
      <c r="M63" s="3">
        <v>96</v>
      </c>
      <c r="N63" s="3">
        <v>113</v>
      </c>
    </row>
    <row r="64" spans="6:26" x14ac:dyDescent="0.3">
      <c r="F64" s="73"/>
      <c r="G64" s="73"/>
      <c r="H64" s="7" t="s">
        <v>11</v>
      </c>
      <c r="I64" s="41">
        <f>I63/5</f>
        <v>9</v>
      </c>
      <c r="J64" s="41">
        <f t="shared" ref="J64:M64" si="4">J63/5</f>
        <v>9.1999999999999993</v>
      </c>
      <c r="K64" s="41">
        <f t="shared" si="4"/>
        <v>10.199999999999999</v>
      </c>
      <c r="L64" s="41">
        <f t="shared" si="4"/>
        <v>12</v>
      </c>
      <c r="M64" s="41">
        <f t="shared" si="4"/>
        <v>19.2</v>
      </c>
      <c r="N64" s="41">
        <f>N63/5</f>
        <v>22.6</v>
      </c>
    </row>
    <row r="65" spans="6:25" x14ac:dyDescent="0.3">
      <c r="F65" s="73"/>
      <c r="G65" s="73"/>
      <c r="H65" s="7" t="s">
        <v>12</v>
      </c>
      <c r="I65" s="3">
        <v>1168684</v>
      </c>
      <c r="J65" s="43">
        <v>1233046</v>
      </c>
      <c r="K65" s="43">
        <v>1196000</v>
      </c>
      <c r="L65" s="43">
        <v>1240935</v>
      </c>
      <c r="M65" s="43">
        <v>1316169</v>
      </c>
      <c r="N65" s="43">
        <v>1395971</v>
      </c>
    </row>
    <row r="70" spans="6:25" x14ac:dyDescent="0.3">
      <c r="F70" s="71" t="s">
        <v>18</v>
      </c>
      <c r="G70" s="71"/>
      <c r="H70" s="72"/>
      <c r="I70" s="72" t="s">
        <v>6</v>
      </c>
      <c r="J70" s="72"/>
      <c r="K70" s="72"/>
      <c r="L70" s="72"/>
      <c r="M70" s="72"/>
      <c r="N70" s="72"/>
    </row>
    <row r="71" spans="6:25" x14ac:dyDescent="0.3">
      <c r="F71" s="73" t="s">
        <v>26</v>
      </c>
      <c r="G71" s="73"/>
      <c r="H71" s="72"/>
      <c r="I71" s="1" t="s">
        <v>0</v>
      </c>
      <c r="J71" s="1" t="s">
        <v>1</v>
      </c>
      <c r="K71" s="1" t="s">
        <v>2</v>
      </c>
      <c r="L71" s="1" t="s">
        <v>3</v>
      </c>
      <c r="M71" s="1" t="s">
        <v>4</v>
      </c>
      <c r="N71" s="1" t="s">
        <v>25</v>
      </c>
      <c r="S71" s="72"/>
      <c r="T71" s="72" t="s">
        <v>6</v>
      </c>
      <c r="U71" s="72"/>
      <c r="V71" s="72"/>
      <c r="W71" s="72"/>
      <c r="X71" s="72"/>
      <c r="Y71" s="72"/>
    </row>
    <row r="72" spans="6:25" x14ac:dyDescent="0.3">
      <c r="F72" s="73"/>
      <c r="G72" s="73"/>
      <c r="H72" s="7" t="s">
        <v>9</v>
      </c>
      <c r="I72" s="7">
        <v>55</v>
      </c>
      <c r="J72" s="3">
        <v>56</v>
      </c>
      <c r="K72" s="7">
        <v>55</v>
      </c>
      <c r="L72" s="3">
        <v>50</v>
      </c>
      <c r="M72" s="3">
        <v>50</v>
      </c>
      <c r="N72" s="3">
        <v>48</v>
      </c>
      <c r="S72" s="72"/>
      <c r="T72" s="1" t="s">
        <v>0</v>
      </c>
      <c r="U72" s="1" t="s">
        <v>1</v>
      </c>
      <c r="V72" s="1" t="s">
        <v>2</v>
      </c>
      <c r="W72" s="1" t="s">
        <v>3</v>
      </c>
      <c r="X72" s="1" t="s">
        <v>4</v>
      </c>
      <c r="Y72" s="1" t="s">
        <v>25</v>
      </c>
    </row>
    <row r="73" spans="6:25" x14ac:dyDescent="0.3">
      <c r="F73" s="73"/>
      <c r="G73" s="73"/>
      <c r="H73" s="7" t="s">
        <v>10</v>
      </c>
      <c r="I73" s="38">
        <v>61.640647709048636</v>
      </c>
      <c r="J73" s="41">
        <v>60.229098531920407</v>
      </c>
      <c r="K73" s="38">
        <v>57.70472526077112</v>
      </c>
      <c r="L73" s="38">
        <v>54.957377093150789</v>
      </c>
      <c r="M73" s="38">
        <v>51.697553871782688</v>
      </c>
      <c r="N73" s="38">
        <v>50.438692387854026</v>
      </c>
      <c r="S73" s="7" t="s">
        <v>6</v>
      </c>
      <c r="T73" s="38">
        <v>61.640647709048636</v>
      </c>
      <c r="U73" s="41">
        <v>60.229098531920407</v>
      </c>
      <c r="V73" s="38">
        <v>57.70472526077112</v>
      </c>
      <c r="W73" s="38">
        <v>54.957377093150789</v>
      </c>
      <c r="X73" s="38">
        <v>51.697553871782688</v>
      </c>
      <c r="Y73" s="38">
        <v>50.438692387854026</v>
      </c>
    </row>
    <row r="74" spans="6:25" x14ac:dyDescent="0.3">
      <c r="F74" s="73"/>
      <c r="G74" s="73"/>
      <c r="H74" s="7" t="s">
        <v>13</v>
      </c>
      <c r="I74" s="42">
        <v>11.748572676559457</v>
      </c>
      <c r="J74" s="42">
        <v>13.866514718091835</v>
      </c>
      <c r="K74" s="42">
        <v>13.987164245959297</v>
      </c>
      <c r="L74" s="20">
        <v>15.16707601390239</v>
      </c>
      <c r="M74" s="42">
        <v>19.114918257419301</v>
      </c>
      <c r="N74" s="42">
        <v>25.735275946637724</v>
      </c>
      <c r="S74" s="7" t="s">
        <v>7</v>
      </c>
      <c r="T74" s="38">
        <v>62.719569009857651</v>
      </c>
      <c r="U74" s="41">
        <v>61.584569669283709</v>
      </c>
      <c r="V74" s="38">
        <v>62.460122629482385</v>
      </c>
      <c r="W74" s="38">
        <v>62.607390830191662</v>
      </c>
      <c r="X74" s="38">
        <v>62.848287952171376</v>
      </c>
      <c r="Y74" s="38">
        <v>63.236443320832727</v>
      </c>
    </row>
    <row r="75" spans="6:25" x14ac:dyDescent="0.3">
      <c r="F75" s="73"/>
      <c r="G75" s="73"/>
      <c r="H75" s="7" t="s">
        <v>14</v>
      </c>
      <c r="I75" s="3">
        <v>247</v>
      </c>
      <c r="J75" s="3">
        <v>371</v>
      </c>
      <c r="K75" s="3">
        <v>478</v>
      </c>
      <c r="L75" s="3">
        <v>662</v>
      </c>
      <c r="M75" s="3">
        <v>1028</v>
      </c>
      <c r="N75" s="3">
        <v>1649</v>
      </c>
      <c r="S75" s="7" t="s">
        <v>8</v>
      </c>
      <c r="T75" s="41">
        <v>68.671554519786014</v>
      </c>
      <c r="U75" s="41">
        <v>69.919724271618563</v>
      </c>
      <c r="V75" s="38">
        <v>68.858786523417123</v>
      </c>
      <c r="W75" s="38">
        <v>69.718995965081376</v>
      </c>
      <c r="X75" s="38">
        <v>70.49489478744465</v>
      </c>
      <c r="Y75" s="38">
        <v>70.222944681184472</v>
      </c>
    </row>
    <row r="76" spans="6:25" x14ac:dyDescent="0.3">
      <c r="F76" s="73"/>
      <c r="G76" s="73"/>
      <c r="H76" s="7" t="s">
        <v>11</v>
      </c>
      <c r="I76" s="41">
        <f>I75/5</f>
        <v>49.4</v>
      </c>
      <c r="J76" s="41">
        <f t="shared" ref="J76:N76" si="5">J75/5</f>
        <v>74.2</v>
      </c>
      <c r="K76" s="41">
        <f t="shared" si="5"/>
        <v>95.6</v>
      </c>
      <c r="L76" s="41">
        <f t="shared" si="5"/>
        <v>132.4</v>
      </c>
      <c r="M76" s="41">
        <f t="shared" si="5"/>
        <v>205.6</v>
      </c>
      <c r="N76" s="41">
        <f t="shared" si="5"/>
        <v>329.8</v>
      </c>
    </row>
    <row r="77" spans="6:25" x14ac:dyDescent="0.3">
      <c r="F77" s="73"/>
      <c r="G77" s="73"/>
      <c r="H77" s="7" t="s">
        <v>12</v>
      </c>
      <c r="I77" s="17">
        <v>2973790</v>
      </c>
      <c r="J77" s="17">
        <v>3485067</v>
      </c>
      <c r="K77" s="17">
        <v>4034976</v>
      </c>
      <c r="L77" s="17">
        <v>4564620</v>
      </c>
      <c r="M77" s="43">
        <v>5159284</v>
      </c>
      <c r="N77" s="17">
        <v>5831407</v>
      </c>
    </row>
  </sheetData>
  <mergeCells count="42">
    <mergeCell ref="T58:Y58"/>
    <mergeCell ref="F70:G70"/>
    <mergeCell ref="H70:H71"/>
    <mergeCell ref="I70:N70"/>
    <mergeCell ref="F71:G77"/>
    <mergeCell ref="S71:S72"/>
    <mergeCell ref="T71:Y71"/>
    <mergeCell ref="F58:G58"/>
    <mergeCell ref="H58:H59"/>
    <mergeCell ref="I58:N58"/>
    <mergeCell ref="F59:G65"/>
    <mergeCell ref="S58:S59"/>
    <mergeCell ref="T35:Z35"/>
    <mergeCell ref="F46:G46"/>
    <mergeCell ref="H46:H47"/>
    <mergeCell ref="I46:O46"/>
    <mergeCell ref="F47:G53"/>
    <mergeCell ref="S46:S47"/>
    <mergeCell ref="T46:Z46"/>
    <mergeCell ref="F35:G35"/>
    <mergeCell ref="H35:H36"/>
    <mergeCell ref="I35:O35"/>
    <mergeCell ref="F36:G42"/>
    <mergeCell ref="S35:S36"/>
    <mergeCell ref="T16:Y16"/>
    <mergeCell ref="F23:G23"/>
    <mergeCell ref="H23:H24"/>
    <mergeCell ref="I23:O23"/>
    <mergeCell ref="F24:G30"/>
    <mergeCell ref="S23:S24"/>
    <mergeCell ref="T23:Z23"/>
    <mergeCell ref="J16:J17"/>
    <mergeCell ref="K16:P16"/>
    <mergeCell ref="S16:S17"/>
    <mergeCell ref="Q5:R5"/>
    <mergeCell ref="S5:S6"/>
    <mergeCell ref="T5:Y5"/>
    <mergeCell ref="Q6:R12"/>
    <mergeCell ref="C3:D3"/>
    <mergeCell ref="E3:E4"/>
    <mergeCell ref="F3:L3"/>
    <mergeCell ref="C4:D10"/>
  </mergeCells>
  <conditionalFormatting sqref="C3:L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Delhi</vt:lpstr>
      <vt:lpstr>Bangalore</vt:lpstr>
      <vt:lpstr>Chennai</vt:lpstr>
      <vt:lpstr>Oral</vt:lpstr>
      <vt:lpstr>Lungs</vt:lpstr>
      <vt:lpstr>Prostate</vt:lpstr>
      <vt:lpstr>All sites</vt:lpstr>
      <vt:lpstr>Corr_summary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 !</dc:creator>
  <cp:lastModifiedBy>Goku !</cp:lastModifiedBy>
  <dcterms:created xsi:type="dcterms:W3CDTF">2025-12-30T09:57:32Z</dcterms:created>
  <dcterms:modified xsi:type="dcterms:W3CDTF">2026-01-22T10:38:36Z</dcterms:modified>
</cp:coreProperties>
</file>